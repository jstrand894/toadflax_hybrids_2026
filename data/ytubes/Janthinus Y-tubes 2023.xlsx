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anaedu-my.sharepoint.com/personal/f59b627_msu_montana_edu/Documents/BoxMigratedData/toadflax/2023 Toadflax Project/Y-Tubes/"/>
    </mc:Choice>
  </mc:AlternateContent>
  <xr:revisionPtr revIDLastSave="740" documentId="8_{9B6ACA1B-869B-4A9E-9EA8-B06AFFC6950D}" xr6:coauthVersionLast="47" xr6:coauthVersionMax="47" xr10:uidLastSave="{D1A5A2F2-7A8E-44A4-91B2-1FD9CD666629}"/>
  <bookViews>
    <workbookView xWindow="-120" yWindow="-120" windowWidth="29040" windowHeight="15840" xr2:uid="{5A91E3BF-2065-4E6B-A73D-5B56BF714EA8}"/>
  </bookViews>
  <sheets>
    <sheet name="janthinus y-tubes" sheetId="1" r:id="rId1"/>
    <sheet name="Sheet3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  <c r="AD29" i="1"/>
  <c r="AD30" i="1"/>
  <c r="AD31" i="1"/>
  <c r="AD32" i="1"/>
  <c r="AD27" i="1"/>
  <c r="X19" i="1"/>
  <c r="W19" i="1"/>
  <c r="V19" i="1"/>
  <c r="X16" i="1"/>
  <c r="W16" i="1"/>
  <c r="V16" i="1"/>
  <c r="X13" i="1"/>
  <c r="W13" i="1"/>
  <c r="V13" i="1"/>
  <c r="X10" i="1"/>
  <c r="W10" i="1"/>
  <c r="V10" i="1"/>
  <c r="X7" i="1"/>
  <c r="W7" i="1"/>
  <c r="V7" i="1"/>
  <c r="X6" i="1"/>
  <c r="W6" i="1"/>
  <c r="V6" i="1"/>
  <c r="X3" i="1"/>
  <c r="W3" i="1"/>
  <c r="V3" i="1"/>
  <c r="X2" i="1"/>
  <c r="W2" i="1"/>
  <c r="V2" i="1"/>
  <c r="Y16" i="1" l="1"/>
  <c r="Y19" i="1"/>
  <c r="Z19" i="1"/>
  <c r="AA19" i="1" s="1"/>
  <c r="Z16" i="1"/>
  <c r="AA16" i="1" s="1"/>
  <c r="Y13" i="1"/>
  <c r="Z13" i="1"/>
  <c r="AA13" i="1" s="1"/>
  <c r="Z10" i="1"/>
  <c r="AA10" i="1" s="1"/>
  <c r="Y10" i="1"/>
  <c r="Z6" i="1"/>
  <c r="AA6" i="1" s="1"/>
  <c r="Y7" i="1"/>
  <c r="Y6" i="1"/>
  <c r="Z7" i="1"/>
  <c r="AA7" i="1" s="1"/>
  <c r="Y3" i="1"/>
  <c r="Z2" i="1"/>
  <c r="AA2" i="1" s="1"/>
  <c r="Y2" i="1"/>
  <c r="Z3" i="1"/>
  <c r="AA3" i="1" s="1"/>
  <c r="AB19" i="1" l="1"/>
  <c r="AB16" i="1"/>
  <c r="AB13" i="1"/>
  <c r="AB10" i="1"/>
  <c r="AB6" i="1"/>
  <c r="AB7" i="1"/>
  <c r="AB2" i="1"/>
  <c r="AB3" i="1"/>
</calcChain>
</file>

<file path=xl/sharedStrings.xml><?xml version="1.0" encoding="utf-8"?>
<sst xmlns="http://schemas.openxmlformats.org/spreadsheetml/2006/main" count="381" uniqueCount="61">
  <si>
    <t>Date</t>
  </si>
  <si>
    <t>Species</t>
  </si>
  <si>
    <t>Sex</t>
  </si>
  <si>
    <t>Pos Trt</t>
  </si>
  <si>
    <t>Neg Trt</t>
  </si>
  <si>
    <t># Pos</t>
  </si>
  <si>
    <t># Neg</t>
  </si>
  <si>
    <t># NR</t>
  </si>
  <si>
    <t>Notes</t>
  </si>
  <si>
    <t>janthinus</t>
  </si>
  <si>
    <t>female</t>
  </si>
  <si>
    <t>yt6</t>
  </si>
  <si>
    <t>bl</t>
  </si>
  <si>
    <t>+</t>
  </si>
  <si>
    <t>Flow</t>
  </si>
  <si>
    <t>Insects refrig overnight</t>
  </si>
  <si>
    <t>Insects used same day as extraction</t>
  </si>
  <si>
    <t>Insects refrig 48 hours</t>
  </si>
  <si>
    <t>male</t>
  </si>
  <si>
    <t>New insects from Alice Cr - refrig overnight</t>
  </si>
  <si>
    <t>New insectsfrom Alice Cr - refrig 3 hours</t>
  </si>
  <si>
    <t>Fall-collected Insects, overnight at room temp</t>
  </si>
  <si>
    <t>Spring-collected, Insects refrig overnight</t>
  </si>
  <si>
    <t>spring-collected, Insects refrig 48 hours</t>
  </si>
  <si>
    <t>fall-collected Insects</t>
  </si>
  <si>
    <t>fall-collected, insects refrig 48 hours</t>
  </si>
  <si>
    <t>-</t>
  </si>
  <si>
    <t>NR</t>
  </si>
  <si>
    <t>Expected</t>
  </si>
  <si>
    <t>Female</t>
  </si>
  <si>
    <t>Male</t>
  </si>
  <si>
    <t>YT6</t>
  </si>
  <si>
    <t>%NR</t>
  </si>
  <si>
    <t>2023 fall-collected, overnight at room temp</t>
  </si>
  <si>
    <t>Season</t>
  </si>
  <si>
    <t>Spring</t>
  </si>
  <si>
    <t>Fall</t>
  </si>
  <si>
    <t>2023 fall-collected, overnight at room temp, temp increased to 75 deg F at 8 am</t>
  </si>
  <si>
    <t>Fall*</t>
  </si>
  <si>
    <t>p-value</t>
  </si>
  <si>
    <t>DT6</t>
  </si>
  <si>
    <t>dt6</t>
  </si>
  <si>
    <t>d6y6</t>
  </si>
  <si>
    <t>D6Y6</t>
  </si>
  <si>
    <t>y6d6</t>
  </si>
  <si>
    <t>Y6D6</t>
  </si>
  <si>
    <t>Needed to warm insects totget them to move better</t>
  </si>
  <si>
    <t>insects extracted day before use</t>
  </si>
  <si>
    <t>room heated to approx 75 deg F</t>
  </si>
  <si>
    <t>0.2 + 0.2 lpm</t>
  </si>
  <si>
    <t>coin flip to choose plant location for trial</t>
  </si>
  <si>
    <t>coin flip to decide whether or not to use males or females first</t>
  </si>
  <si>
    <t>HBR</t>
  </si>
  <si>
    <t>Rad</t>
  </si>
  <si>
    <t>hbr</t>
  </si>
  <si>
    <t>rad</t>
  </si>
  <si>
    <t>5 minutes max or no response</t>
  </si>
  <si>
    <t>Spring insects were spent? They didn't move</t>
  </si>
  <si>
    <t>dropped males after they didn't respond to DT6 or YT6</t>
  </si>
  <si>
    <t xml:space="preserve"> 
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</si>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</sst>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A8E8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4" borderId="0" xfId="0" applyFill="1"/>
    <xf numFmtId="14" fontId="0" fillId="0" borderId="0" xfId="0" applyNumberFormat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14" fontId="0" fillId="4" borderId="0" xfId="0" applyNumberFormat="1" applyFill="1"/>
    <xf numFmtId="0" fontId="0" fillId="7" borderId="0" xfId="0" applyFill="1"/>
    <xf numFmtId="0" fontId="2" fillId="0" borderId="0" xfId="0" applyFont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2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14" fontId="0" fillId="10" borderId="0" xfId="0" applyNumberFormat="1" applyFill="1"/>
    <xf numFmtId="165" fontId="0" fillId="10" borderId="1" xfId="0" applyNumberFormat="1" applyFill="1" applyBorder="1" applyAlignment="1">
      <alignment horizontal="center"/>
    </xf>
    <xf numFmtId="165" fontId="0" fillId="10" borderId="0" xfId="0" applyNumberFormat="1" applyFill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14" fontId="0" fillId="13" borderId="0" xfId="0" applyNumberForma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65" fontId="0" fillId="14" borderId="1" xfId="0" applyNumberFormat="1" applyFill="1" applyBorder="1" applyAlignment="1">
      <alignment horizontal="center"/>
    </xf>
    <xf numFmtId="0" fontId="0" fillId="13" borderId="0" xfId="0" applyFill="1" applyAlignment="1">
      <alignment horizontal="left"/>
    </xf>
    <xf numFmtId="0" fontId="0" fillId="15" borderId="0" xfId="0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A8E8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ntanaedu-my.sharepoint.com/personal/f59b627_msu_montana_edu/Documents/BoxMigratedData/toadflax/2023%20Toadflax%20Project/Y-Tubes/Mecinus%20y-tube%20charts.xlsx" TargetMode="External"/><Relationship Id="rId1" Type="http://schemas.openxmlformats.org/officeDocument/2006/relationships/externalLinkPath" Target="Mecinus%20y-tube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thinus"/>
      <sheetName val="janthiniformis"/>
    </sheetNames>
    <sheetDataSet>
      <sheetData sheetId="0">
        <row r="2">
          <cell r="C2">
            <v>26</v>
          </cell>
          <cell r="D2">
            <v>12</v>
          </cell>
        </row>
        <row r="23">
          <cell r="C23" t="str">
            <v>+</v>
          </cell>
          <cell r="D23" t="str">
            <v>-</v>
          </cell>
        </row>
        <row r="24">
          <cell r="C24">
            <v>26</v>
          </cell>
          <cell r="D24">
            <v>22</v>
          </cell>
        </row>
        <row r="25">
          <cell r="C25">
            <v>22</v>
          </cell>
          <cell r="D25">
            <v>22</v>
          </cell>
        </row>
        <row r="26">
          <cell r="C26">
            <v>22</v>
          </cell>
          <cell r="D26">
            <v>24</v>
          </cell>
        </row>
        <row r="27">
          <cell r="C27">
            <v>23</v>
          </cell>
          <cell r="D27">
            <v>20</v>
          </cell>
        </row>
        <row r="28">
          <cell r="C28">
            <v>22</v>
          </cell>
          <cell r="D28">
            <v>23</v>
          </cell>
        </row>
        <row r="29">
          <cell r="C29">
            <v>26</v>
          </cell>
          <cell r="D29">
            <v>12</v>
          </cell>
        </row>
      </sheetData>
      <sheetData sheetId="1">
        <row r="22">
          <cell r="C22" t="str">
            <v>+</v>
          </cell>
          <cell r="D22" t="str">
            <v>-</v>
          </cell>
        </row>
        <row r="23">
          <cell r="C23">
            <v>30</v>
          </cell>
          <cell r="D23">
            <v>18</v>
          </cell>
        </row>
        <row r="24">
          <cell r="C24">
            <v>31</v>
          </cell>
          <cell r="D24">
            <v>13</v>
          </cell>
        </row>
        <row r="25">
          <cell r="C25">
            <v>28</v>
          </cell>
          <cell r="D25">
            <v>19</v>
          </cell>
        </row>
        <row r="26">
          <cell r="C26">
            <v>36</v>
          </cell>
          <cell r="D26">
            <v>21</v>
          </cell>
        </row>
        <row r="27">
          <cell r="C27">
            <v>31</v>
          </cell>
          <cell r="D27">
            <v>20</v>
          </cell>
        </row>
        <row r="28">
          <cell r="C28">
            <v>43</v>
          </cell>
          <cell r="D28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8741-04F0-43C2-BCB0-C4F76ED9E9D9}">
  <dimension ref="A1:AH50"/>
  <sheetViews>
    <sheetView tabSelected="1" workbookViewId="0">
      <pane ySplit="1" topLeftCell="A2" activePane="bottomLeft" state="frozen"/>
      <selection pane="bottomLeft" activeCell="T1" sqref="T1:AB19"/>
    </sheetView>
  </sheetViews>
  <sheetFormatPr defaultRowHeight="15" x14ac:dyDescent="0.25"/>
  <cols>
    <col min="1" max="2" width="10.7109375" style="38" bestFit="1" customWidth="1"/>
    <col min="3" max="5" width="9.140625" style="38"/>
    <col min="6" max="6" width="7.42578125" style="38" bestFit="1" customWidth="1"/>
    <col min="7" max="7" width="5.5703125" style="38" bestFit="1" customWidth="1"/>
    <col min="8" max="8" width="6" style="38" bestFit="1" customWidth="1"/>
    <col min="9" max="9" width="5" style="38" bestFit="1" customWidth="1"/>
    <col min="10" max="10" width="5.28515625" style="38" bestFit="1" customWidth="1"/>
    <col min="11" max="11" width="9.140625" style="46"/>
    <col min="12" max="15" width="9.140625" style="38"/>
    <col min="18" max="18" width="6.5703125" customWidth="1"/>
    <col min="20" max="20" width="7.5703125" bestFit="1" customWidth="1"/>
    <col min="21" max="21" width="5.28515625" bestFit="1" customWidth="1"/>
    <col min="22" max="23" width="3" bestFit="1" customWidth="1"/>
    <col min="24" max="24" width="5.140625" bestFit="1" customWidth="1"/>
    <col min="25" max="25" width="5.28515625" customWidth="1"/>
    <col min="28" max="28" width="7.7109375" bestFit="1" customWidth="1"/>
  </cols>
  <sheetData>
    <row r="1" spans="1:31" x14ac:dyDescent="0.25">
      <c r="A1" s="18" t="s">
        <v>34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14</v>
      </c>
      <c r="K1" s="39" t="s">
        <v>8</v>
      </c>
      <c r="L1" s="18"/>
      <c r="M1" s="18"/>
      <c r="N1" s="18"/>
      <c r="O1" s="18"/>
      <c r="P1" s="18"/>
      <c r="Q1" s="18"/>
      <c r="R1" s="18"/>
      <c r="S1" s="10"/>
      <c r="T1" s="11"/>
      <c r="U1" s="11"/>
      <c r="V1" s="12" t="s">
        <v>13</v>
      </c>
      <c r="W1" s="12" t="s">
        <v>26</v>
      </c>
      <c r="X1" s="12" t="s">
        <v>27</v>
      </c>
      <c r="Y1" s="12" t="s">
        <v>32</v>
      </c>
      <c r="Z1" s="12" t="s">
        <v>28</v>
      </c>
      <c r="AA1" s="12" t="s">
        <v>28</v>
      </c>
      <c r="AB1" s="12" t="s">
        <v>39</v>
      </c>
      <c r="AC1" s="10"/>
    </row>
    <row r="2" spans="1:31" x14ac:dyDescent="0.25">
      <c r="A2" s="19" t="s">
        <v>35</v>
      </c>
      <c r="B2" s="20">
        <v>45056</v>
      </c>
      <c r="C2" s="21" t="s">
        <v>9</v>
      </c>
      <c r="D2" s="19" t="s">
        <v>10</v>
      </c>
      <c r="E2" s="19" t="s">
        <v>11</v>
      </c>
      <c r="F2" s="19" t="s">
        <v>12</v>
      </c>
      <c r="G2" s="19">
        <v>2</v>
      </c>
      <c r="H2" s="19">
        <v>0</v>
      </c>
      <c r="I2" s="19">
        <v>6</v>
      </c>
      <c r="J2" s="19">
        <v>0.3</v>
      </c>
      <c r="K2" s="40" t="s">
        <v>16</v>
      </c>
      <c r="L2" s="19"/>
      <c r="M2" s="19"/>
      <c r="N2" s="19"/>
      <c r="O2" s="22"/>
      <c r="S2" s="10"/>
      <c r="T2" s="13" t="s">
        <v>29</v>
      </c>
      <c r="U2" s="17" t="s">
        <v>31</v>
      </c>
      <c r="V2" s="14">
        <f>SUMIFS(G:G,D:D,T2,E:E,U2, A:A,"fall")</f>
        <v>26</v>
      </c>
      <c r="W2" s="14">
        <f>SUMIFS($H:$H,$D:$D,$T2,$E:$E,U2, A:A, "fall")</f>
        <v>12</v>
      </c>
      <c r="X2" s="14">
        <f>SUMIFS(I:I,D:D,T2,E:E,U2, A:A,"fall")</f>
        <v>22</v>
      </c>
      <c r="Y2" s="15">
        <f>X2/(X2+W2+V2)*100</f>
        <v>36.666666666666664</v>
      </c>
      <c r="Z2" s="14">
        <f>(V2+W2)/2</f>
        <v>19</v>
      </c>
      <c r="AA2" s="14">
        <f>Z2</f>
        <v>19</v>
      </c>
      <c r="AB2" s="55">
        <f>_xlfn.CHISQ.TEST(V2:W2,Z2:AA2)</f>
        <v>2.3140931308743735E-2</v>
      </c>
      <c r="AC2" s="10"/>
      <c r="AD2" t="s">
        <v>8</v>
      </c>
    </row>
    <row r="3" spans="1:31" x14ac:dyDescent="0.25">
      <c r="A3" s="19" t="s">
        <v>35</v>
      </c>
      <c r="B3" s="20">
        <v>45056</v>
      </c>
      <c r="C3" s="21" t="s">
        <v>9</v>
      </c>
      <c r="D3" s="19" t="s">
        <v>10</v>
      </c>
      <c r="E3" s="19" t="s">
        <v>11</v>
      </c>
      <c r="F3" s="19" t="s">
        <v>12</v>
      </c>
      <c r="G3" s="19">
        <v>4</v>
      </c>
      <c r="H3" s="19">
        <v>2</v>
      </c>
      <c r="I3" s="19">
        <v>7</v>
      </c>
      <c r="J3" s="19">
        <v>0.25</v>
      </c>
      <c r="K3" s="40" t="s">
        <v>15</v>
      </c>
      <c r="L3" s="19"/>
      <c r="M3" s="19"/>
      <c r="N3" s="19"/>
      <c r="O3" s="22"/>
      <c r="S3" s="10"/>
      <c r="T3" s="13" t="s">
        <v>30</v>
      </c>
      <c r="U3" s="17" t="s">
        <v>31</v>
      </c>
      <c r="V3" s="14">
        <f>SUMIFS(G:G,D:D,T3,E:E,U3, A:A,"fall")</f>
        <v>19</v>
      </c>
      <c r="W3" s="14">
        <f>SUMIFS($H:$H,$D:$D,$T3,$E:$E,U3, A:A, "fall")</f>
        <v>16</v>
      </c>
      <c r="X3" s="14">
        <f>SUMIFS(I:I,D:D,T3,E:E,U3, A:A,"fall")</f>
        <v>25</v>
      </c>
      <c r="Y3" s="15">
        <f>X3/(X3+W3+V3)*100</f>
        <v>41.666666666666671</v>
      </c>
      <c r="Z3" s="14">
        <f>(V3+W3)/2</f>
        <v>17.5</v>
      </c>
      <c r="AA3" s="14">
        <f t="shared" ref="AA3" si="0">Z3</f>
        <v>17.5</v>
      </c>
      <c r="AB3" s="48">
        <f>_xlfn.CHISQ.TEST(V3:W3,Z3:AA3)</f>
        <v>0.61208988008925669</v>
      </c>
      <c r="AC3" s="10"/>
      <c r="AE3" t="s">
        <v>57</v>
      </c>
    </row>
    <row r="4" spans="1:31" x14ac:dyDescent="0.25">
      <c r="A4" s="19" t="s">
        <v>35</v>
      </c>
      <c r="B4" s="20">
        <v>45058</v>
      </c>
      <c r="C4" s="21" t="s">
        <v>9</v>
      </c>
      <c r="D4" s="19" t="s">
        <v>10</v>
      </c>
      <c r="E4" s="19" t="s">
        <v>11</v>
      </c>
      <c r="F4" s="19" t="s">
        <v>12</v>
      </c>
      <c r="G4" s="19">
        <v>0</v>
      </c>
      <c r="H4" s="19">
        <v>0</v>
      </c>
      <c r="I4" s="19">
        <v>4</v>
      </c>
      <c r="J4" s="19">
        <v>0.2</v>
      </c>
      <c r="K4" s="40" t="s">
        <v>17</v>
      </c>
      <c r="L4" s="19"/>
      <c r="M4" s="19"/>
      <c r="N4" s="19"/>
      <c r="O4" s="22"/>
      <c r="S4" s="10"/>
      <c r="T4" s="11"/>
      <c r="U4" s="11"/>
      <c r="V4" s="11"/>
      <c r="W4" s="11"/>
      <c r="X4" s="11"/>
      <c r="Y4" s="11"/>
      <c r="Z4" s="11"/>
      <c r="AA4" s="11"/>
      <c r="AB4" s="49"/>
      <c r="AC4" s="10"/>
      <c r="AE4" t="s">
        <v>46</v>
      </c>
    </row>
    <row r="5" spans="1:31" x14ac:dyDescent="0.25">
      <c r="A5" s="19" t="s">
        <v>35</v>
      </c>
      <c r="B5" s="20">
        <v>45061</v>
      </c>
      <c r="C5" s="21" t="s">
        <v>9</v>
      </c>
      <c r="D5" s="19" t="s">
        <v>18</v>
      </c>
      <c r="E5" s="19" t="s">
        <v>11</v>
      </c>
      <c r="F5" s="19" t="s">
        <v>12</v>
      </c>
      <c r="G5" s="19">
        <v>3</v>
      </c>
      <c r="H5" s="19">
        <v>1</v>
      </c>
      <c r="I5" s="19">
        <v>3</v>
      </c>
      <c r="J5" s="19">
        <v>0.2</v>
      </c>
      <c r="K5" s="40" t="s">
        <v>19</v>
      </c>
      <c r="L5" s="19"/>
      <c r="M5" s="19"/>
      <c r="N5" s="19"/>
      <c r="O5" s="22"/>
      <c r="S5" s="10"/>
      <c r="T5" s="11"/>
      <c r="U5" s="11"/>
      <c r="V5" s="12" t="s">
        <v>13</v>
      </c>
      <c r="W5" s="12" t="s">
        <v>26</v>
      </c>
      <c r="X5" s="12" t="s">
        <v>27</v>
      </c>
      <c r="Y5" s="12" t="s">
        <v>32</v>
      </c>
      <c r="Z5" s="12" t="s">
        <v>28</v>
      </c>
      <c r="AA5" s="12" t="s">
        <v>28</v>
      </c>
      <c r="AB5" s="50" t="s">
        <v>39</v>
      </c>
      <c r="AC5" s="10"/>
      <c r="AE5" t="s">
        <v>47</v>
      </c>
    </row>
    <row r="6" spans="1:31" x14ac:dyDescent="0.25">
      <c r="A6" s="19" t="s">
        <v>35</v>
      </c>
      <c r="B6" s="20">
        <v>45061</v>
      </c>
      <c r="C6" s="21" t="s">
        <v>9</v>
      </c>
      <c r="D6" s="19" t="s">
        <v>10</v>
      </c>
      <c r="E6" s="19" t="s">
        <v>11</v>
      </c>
      <c r="F6" s="19" t="s">
        <v>12</v>
      </c>
      <c r="G6" s="19">
        <v>3</v>
      </c>
      <c r="H6" s="19">
        <v>4</v>
      </c>
      <c r="I6" s="19">
        <v>5</v>
      </c>
      <c r="J6" s="19">
        <v>0.2</v>
      </c>
      <c r="K6" s="40" t="s">
        <v>19</v>
      </c>
      <c r="L6" s="19"/>
      <c r="M6" s="19"/>
      <c r="N6" s="19"/>
      <c r="O6" s="22"/>
      <c r="S6" s="10"/>
      <c r="T6" s="13" t="s">
        <v>29</v>
      </c>
      <c r="U6" s="17" t="s">
        <v>40</v>
      </c>
      <c r="V6" s="14">
        <f>SUMIFS(G:G,D:D,T6,E:E,U6, A:A,"fall")</f>
        <v>22</v>
      </c>
      <c r="W6" s="14">
        <f>SUMIFS($H:$H,$D:$D,$T6,$E:$E,U6, A:A, "fall")</f>
        <v>23</v>
      </c>
      <c r="X6" s="14">
        <f>SUMIFS(I:I,D:D,T6,E:E,U6, A:A,"fall")</f>
        <v>20</v>
      </c>
      <c r="Y6" s="15">
        <f>X6/(X6+W6+V6)*100</f>
        <v>30.76923076923077</v>
      </c>
      <c r="Z6" s="14">
        <f>(V6+W6)/2</f>
        <v>22.5</v>
      </c>
      <c r="AA6" s="14">
        <f>Z6</f>
        <v>22.5</v>
      </c>
      <c r="AB6" s="48">
        <f>_xlfn.CHISQ.TEST(V6:W6,Z6:AA6)</f>
        <v>0.8814974521910135</v>
      </c>
      <c r="AC6" s="10"/>
      <c r="AE6" t="s">
        <v>48</v>
      </c>
    </row>
    <row r="7" spans="1:31" x14ac:dyDescent="0.25">
      <c r="A7" s="19" t="s">
        <v>35</v>
      </c>
      <c r="B7" s="20">
        <v>45061</v>
      </c>
      <c r="C7" s="21" t="s">
        <v>9</v>
      </c>
      <c r="D7" s="19" t="s">
        <v>10</v>
      </c>
      <c r="E7" s="19" t="s">
        <v>11</v>
      </c>
      <c r="F7" s="19" t="s">
        <v>12</v>
      </c>
      <c r="G7" s="19">
        <v>0</v>
      </c>
      <c r="H7" s="19">
        <v>4</v>
      </c>
      <c r="I7" s="19">
        <v>5</v>
      </c>
      <c r="J7" s="19">
        <v>0.2</v>
      </c>
      <c r="K7" s="40" t="s">
        <v>20</v>
      </c>
      <c r="L7" s="19"/>
      <c r="M7" s="19"/>
      <c r="N7" s="19"/>
      <c r="O7" s="22"/>
      <c r="S7" s="10"/>
      <c r="T7" s="13" t="s">
        <v>30</v>
      </c>
      <c r="U7" s="17" t="s">
        <v>40</v>
      </c>
      <c r="V7" s="14">
        <f>SUMIFS(G:G,D:D,T7,E:E,U7, A:A,"fall")</f>
        <v>20</v>
      </c>
      <c r="W7" s="14">
        <f>SUMIFS($H:$H,$D:$D,$T7,$E:$E,U7, A:A, "fall")</f>
        <v>22</v>
      </c>
      <c r="X7" s="14">
        <f>SUMIFS(I:I,D:D,T7,E:E,U7, A:A,"fall")</f>
        <v>18</v>
      </c>
      <c r="Y7" s="15">
        <f>X7/(X7+W7+V7)*100</f>
        <v>30</v>
      </c>
      <c r="Z7" s="14">
        <f>(V7+W7)/2</f>
        <v>21</v>
      </c>
      <c r="AA7" s="14">
        <f t="shared" ref="AA7" si="1">Z7</f>
        <v>21</v>
      </c>
      <c r="AB7" s="48">
        <f>_xlfn.CHISQ.TEST(V7:W7,Z7:AA7)</f>
        <v>0.7576207236833965</v>
      </c>
      <c r="AC7" s="10"/>
      <c r="AE7" t="s">
        <v>49</v>
      </c>
    </row>
    <row r="8" spans="1:31" x14ac:dyDescent="0.25">
      <c r="A8" s="19" t="s">
        <v>35</v>
      </c>
      <c r="B8" s="20">
        <v>45062</v>
      </c>
      <c r="C8" s="21" t="s">
        <v>9</v>
      </c>
      <c r="D8" s="19" t="s">
        <v>10</v>
      </c>
      <c r="E8" s="19" t="s">
        <v>11</v>
      </c>
      <c r="F8" s="19" t="s">
        <v>12</v>
      </c>
      <c r="G8" s="19">
        <v>2</v>
      </c>
      <c r="H8" s="19">
        <v>1</v>
      </c>
      <c r="I8" s="19">
        <v>8</v>
      </c>
      <c r="J8" s="19">
        <v>0.35</v>
      </c>
      <c r="K8" s="40" t="s">
        <v>21</v>
      </c>
      <c r="L8" s="19"/>
      <c r="M8" s="19"/>
      <c r="N8" s="19"/>
      <c r="O8" s="22"/>
      <c r="S8" s="10"/>
      <c r="T8" s="11"/>
      <c r="U8" s="11"/>
      <c r="V8" s="11"/>
      <c r="W8" s="11"/>
      <c r="X8" s="11"/>
      <c r="Y8" s="11"/>
      <c r="Z8" s="11"/>
      <c r="AA8" s="11"/>
      <c r="AB8" s="49"/>
      <c r="AC8" s="10"/>
      <c r="AE8" t="s">
        <v>50</v>
      </c>
    </row>
    <row r="9" spans="1:31" x14ac:dyDescent="0.25">
      <c r="A9" s="19" t="s">
        <v>35</v>
      </c>
      <c r="B9" s="20">
        <v>45062</v>
      </c>
      <c r="C9" s="21" t="s">
        <v>9</v>
      </c>
      <c r="D9" s="19" t="s">
        <v>10</v>
      </c>
      <c r="E9" s="19" t="s">
        <v>11</v>
      </c>
      <c r="F9" s="19" t="s">
        <v>12</v>
      </c>
      <c r="G9" s="19">
        <v>1</v>
      </c>
      <c r="H9" s="19">
        <v>0</v>
      </c>
      <c r="I9" s="19">
        <v>11</v>
      </c>
      <c r="J9" s="19">
        <v>0.1</v>
      </c>
      <c r="K9" s="40" t="s">
        <v>21</v>
      </c>
      <c r="L9" s="19"/>
      <c r="M9" s="19"/>
      <c r="N9" s="19"/>
      <c r="O9" s="22"/>
      <c r="S9" s="10"/>
      <c r="T9" s="11"/>
      <c r="U9" s="11"/>
      <c r="V9" s="12" t="s">
        <v>13</v>
      </c>
      <c r="W9" s="12" t="s">
        <v>26</v>
      </c>
      <c r="X9" s="12" t="s">
        <v>27</v>
      </c>
      <c r="Y9" s="12" t="s">
        <v>32</v>
      </c>
      <c r="Z9" s="12" t="s">
        <v>28</v>
      </c>
      <c r="AA9" s="12" t="s">
        <v>28</v>
      </c>
      <c r="AB9" s="50" t="s">
        <v>39</v>
      </c>
      <c r="AC9" s="10"/>
      <c r="AE9" t="s">
        <v>51</v>
      </c>
    </row>
    <row r="10" spans="1:31" x14ac:dyDescent="0.25">
      <c r="A10" s="19" t="s">
        <v>35</v>
      </c>
      <c r="B10" s="20">
        <v>45063</v>
      </c>
      <c r="C10" s="21" t="s">
        <v>9</v>
      </c>
      <c r="D10" s="19" t="s">
        <v>10</v>
      </c>
      <c r="E10" s="19" t="s">
        <v>11</v>
      </c>
      <c r="F10" s="19" t="s">
        <v>12</v>
      </c>
      <c r="G10" s="19">
        <v>8</v>
      </c>
      <c r="H10" s="19">
        <v>4</v>
      </c>
      <c r="I10" s="19">
        <v>2</v>
      </c>
      <c r="J10" s="19">
        <v>0.2</v>
      </c>
      <c r="K10" s="40" t="s">
        <v>22</v>
      </c>
      <c r="L10" s="19"/>
      <c r="M10" s="19"/>
      <c r="N10" s="19"/>
      <c r="O10" s="22"/>
      <c r="S10" s="10"/>
      <c r="T10" s="13" t="s">
        <v>29</v>
      </c>
      <c r="U10" s="17" t="s">
        <v>43</v>
      </c>
      <c r="V10" s="14">
        <f>SUMIFS(G:G,D:D,T10,E:E,U10, A:A,"fall")</f>
        <v>23</v>
      </c>
      <c r="W10" s="14">
        <f>SUMIFS($H:$H,$D:$D,$T10,$E:$E,U10, A:A, "fall")</f>
        <v>20</v>
      </c>
      <c r="X10" s="14">
        <f>SUMIFS(I:I,D:D,T10,E:E,U10, A:A,"fall")</f>
        <v>17</v>
      </c>
      <c r="Y10" s="15">
        <f>X10/(X10+W10+V10)*100</f>
        <v>28.333333333333332</v>
      </c>
      <c r="Z10" s="14">
        <f>(V10+W10)/2</f>
        <v>21.5</v>
      </c>
      <c r="AA10" s="14">
        <f>Z10</f>
        <v>21.5</v>
      </c>
      <c r="AB10" s="48">
        <f>_xlfn.CHISQ.TEST(V10:W10,Z10:AA10)</f>
        <v>0.6473147843885203</v>
      </c>
      <c r="AC10" s="10"/>
      <c r="AE10" t="s">
        <v>58</v>
      </c>
    </row>
    <row r="11" spans="1:31" x14ac:dyDescent="0.25">
      <c r="A11" s="19" t="s">
        <v>35</v>
      </c>
      <c r="B11" s="20">
        <v>45063</v>
      </c>
      <c r="C11" s="21" t="s">
        <v>9</v>
      </c>
      <c r="D11" s="19" t="s">
        <v>18</v>
      </c>
      <c r="E11" s="19" t="s">
        <v>11</v>
      </c>
      <c r="F11" s="19" t="s">
        <v>12</v>
      </c>
      <c r="G11" s="19">
        <v>4</v>
      </c>
      <c r="H11" s="19">
        <v>3</v>
      </c>
      <c r="I11" s="19">
        <v>2</v>
      </c>
      <c r="J11" s="19">
        <v>0.2</v>
      </c>
      <c r="K11" s="40" t="s">
        <v>22</v>
      </c>
      <c r="L11" s="19"/>
      <c r="M11" s="19"/>
      <c r="N11" s="19"/>
      <c r="O11" s="22"/>
      <c r="S11" s="10"/>
      <c r="T11" s="11"/>
      <c r="U11" s="11"/>
      <c r="V11" s="11"/>
      <c r="W11" s="11"/>
      <c r="X11" s="11"/>
      <c r="Y11" s="16"/>
      <c r="Z11" s="11"/>
      <c r="AA11" s="11"/>
      <c r="AB11" s="49"/>
      <c r="AC11" s="10"/>
      <c r="AE11" t="s">
        <v>56</v>
      </c>
    </row>
    <row r="12" spans="1:31" x14ac:dyDescent="0.25">
      <c r="A12" s="19" t="s">
        <v>35</v>
      </c>
      <c r="B12" s="20">
        <v>45064</v>
      </c>
      <c r="C12" s="21" t="s">
        <v>9</v>
      </c>
      <c r="D12" s="19" t="s">
        <v>10</v>
      </c>
      <c r="E12" s="19" t="s">
        <v>11</v>
      </c>
      <c r="F12" s="19" t="s">
        <v>12</v>
      </c>
      <c r="G12" s="19">
        <v>9</v>
      </c>
      <c r="H12" s="19">
        <v>6</v>
      </c>
      <c r="I12" s="19">
        <v>3</v>
      </c>
      <c r="J12" s="19">
        <v>0.2</v>
      </c>
      <c r="K12" s="40" t="s">
        <v>23</v>
      </c>
      <c r="L12" s="19"/>
      <c r="M12" s="19"/>
      <c r="N12" s="19"/>
      <c r="O12" s="22"/>
      <c r="S12" s="10"/>
      <c r="T12" s="11"/>
      <c r="U12" s="11"/>
      <c r="V12" s="12" t="s">
        <v>13</v>
      </c>
      <c r="W12" s="12" t="s">
        <v>26</v>
      </c>
      <c r="X12" s="12" t="s">
        <v>27</v>
      </c>
      <c r="Y12" s="12" t="s">
        <v>32</v>
      </c>
      <c r="Z12" s="12" t="s">
        <v>28</v>
      </c>
      <c r="AA12" s="12" t="s">
        <v>28</v>
      </c>
      <c r="AB12" s="50" t="s">
        <v>39</v>
      </c>
      <c r="AC12" s="10"/>
    </row>
    <row r="13" spans="1:31" x14ac:dyDescent="0.25">
      <c r="A13" s="19" t="s">
        <v>35</v>
      </c>
      <c r="B13" s="20">
        <v>45069</v>
      </c>
      <c r="C13" s="21" t="s">
        <v>9</v>
      </c>
      <c r="D13" s="19" t="s">
        <v>10</v>
      </c>
      <c r="E13" s="19" t="s">
        <v>11</v>
      </c>
      <c r="F13" s="19" t="s">
        <v>12</v>
      </c>
      <c r="G13" s="19">
        <v>6</v>
      </c>
      <c r="H13" s="19">
        <v>1</v>
      </c>
      <c r="I13" s="19">
        <v>8</v>
      </c>
      <c r="J13" s="19">
        <v>0.2</v>
      </c>
      <c r="K13" s="40" t="s">
        <v>24</v>
      </c>
      <c r="L13" s="19"/>
      <c r="M13" s="19"/>
      <c r="N13" s="19"/>
      <c r="O13" s="22"/>
      <c r="S13" s="10"/>
      <c r="T13" s="13" t="s">
        <v>29</v>
      </c>
      <c r="U13" s="17" t="s">
        <v>45</v>
      </c>
      <c r="V13" s="14">
        <f>SUMIFS(G:G,D:D,T13,E:E,U13, A:A,"fall")</f>
        <v>22</v>
      </c>
      <c r="W13" s="14">
        <f>SUMIFS($H:$H,$D:$D,$T13,$E:$E,U13, A:A, "fall")</f>
        <v>24</v>
      </c>
      <c r="X13" s="14">
        <f>SUMIFS(I:I,D:D,T13,E:E,U13, A:A,"fall")</f>
        <v>14</v>
      </c>
      <c r="Y13" s="15">
        <f>X13/(X13+W13+V13)*100</f>
        <v>23.333333333333332</v>
      </c>
      <c r="Z13" s="14">
        <f>(V13+W13)/2</f>
        <v>23</v>
      </c>
      <c r="AA13" s="14">
        <f>Z13</f>
        <v>23</v>
      </c>
      <c r="AB13" s="48">
        <f>_xlfn.CHISQ.TEST(V13:W13,Z13:AA13)</f>
        <v>0.76808256190094315</v>
      </c>
      <c r="AC13" s="10"/>
    </row>
    <row r="14" spans="1:31" x14ac:dyDescent="0.25">
      <c r="A14" s="19" t="s">
        <v>35</v>
      </c>
      <c r="B14" s="20">
        <v>45070</v>
      </c>
      <c r="C14" s="21" t="s">
        <v>9</v>
      </c>
      <c r="D14" s="19" t="s">
        <v>10</v>
      </c>
      <c r="E14" s="19" t="s">
        <v>11</v>
      </c>
      <c r="F14" s="19" t="s">
        <v>12</v>
      </c>
      <c r="G14" s="19">
        <v>1</v>
      </c>
      <c r="H14" s="19">
        <v>1</v>
      </c>
      <c r="I14" s="19">
        <v>7</v>
      </c>
      <c r="J14" s="19">
        <v>0.18</v>
      </c>
      <c r="K14" s="40" t="s">
        <v>25</v>
      </c>
      <c r="L14" s="19"/>
      <c r="M14" s="19"/>
      <c r="N14" s="19"/>
      <c r="O14" s="22"/>
      <c r="S14" s="10"/>
      <c r="T14" s="11"/>
      <c r="U14" s="11"/>
      <c r="V14" s="11"/>
      <c r="W14" s="11"/>
      <c r="X14" s="11"/>
      <c r="Y14" s="11"/>
      <c r="Z14" s="11"/>
      <c r="AA14" s="11"/>
      <c r="AB14" s="49"/>
      <c r="AC14" s="10"/>
    </row>
    <row r="15" spans="1:31" x14ac:dyDescent="0.25">
      <c r="A15" s="19" t="s">
        <v>35</v>
      </c>
      <c r="B15" s="20">
        <v>45070</v>
      </c>
      <c r="C15" s="21" t="s">
        <v>9</v>
      </c>
      <c r="D15" s="19" t="s">
        <v>18</v>
      </c>
      <c r="E15" s="19" t="s">
        <v>11</v>
      </c>
      <c r="F15" s="19" t="s">
        <v>12</v>
      </c>
      <c r="G15" s="19">
        <v>1</v>
      </c>
      <c r="H15" s="19">
        <v>1</v>
      </c>
      <c r="I15" s="19">
        <v>3</v>
      </c>
      <c r="J15" s="19">
        <v>0.18</v>
      </c>
      <c r="K15" s="40" t="s">
        <v>25</v>
      </c>
      <c r="L15" s="19"/>
      <c r="M15" s="19"/>
      <c r="N15" s="19"/>
      <c r="O15" s="22"/>
      <c r="S15" s="10"/>
      <c r="T15" s="11"/>
      <c r="U15" s="11"/>
      <c r="V15" s="12" t="s">
        <v>13</v>
      </c>
      <c r="W15" s="12" t="s">
        <v>26</v>
      </c>
      <c r="X15" s="12" t="s">
        <v>27</v>
      </c>
      <c r="Y15" s="12" t="s">
        <v>32</v>
      </c>
      <c r="Z15" s="12" t="s">
        <v>28</v>
      </c>
      <c r="AA15" s="12" t="s">
        <v>28</v>
      </c>
      <c r="AB15" s="50" t="s">
        <v>39</v>
      </c>
      <c r="AC15" s="10"/>
    </row>
    <row r="16" spans="1:31" x14ac:dyDescent="0.25">
      <c r="A16" s="19" t="s">
        <v>35</v>
      </c>
      <c r="B16" s="20">
        <v>45070</v>
      </c>
      <c r="C16" s="21" t="s">
        <v>9</v>
      </c>
      <c r="D16" s="19" t="s">
        <v>18</v>
      </c>
      <c r="E16" s="19" t="s">
        <v>11</v>
      </c>
      <c r="F16" s="19" t="s">
        <v>12</v>
      </c>
      <c r="G16" s="19">
        <v>4</v>
      </c>
      <c r="H16" s="19">
        <v>3</v>
      </c>
      <c r="I16" s="19">
        <v>8</v>
      </c>
      <c r="J16" s="19">
        <v>0.18</v>
      </c>
      <c r="K16" s="40" t="s">
        <v>25</v>
      </c>
      <c r="L16" s="19"/>
      <c r="M16" s="19"/>
      <c r="N16" s="19"/>
      <c r="O16" s="22"/>
      <c r="S16" s="10"/>
      <c r="T16" s="13" t="s">
        <v>29</v>
      </c>
      <c r="U16" s="17" t="s">
        <v>52</v>
      </c>
      <c r="V16" s="14">
        <f>SUMIFS(G:G,D:D,T16,E:E,U16, A:A,"fall")</f>
        <v>22</v>
      </c>
      <c r="W16" s="14">
        <f>SUMIFS($H:$H,$D:$D,$T16,$E:$E,U16, A:A, "fall")</f>
        <v>22</v>
      </c>
      <c r="X16" s="14">
        <f>SUMIFS(I:I,D:D,T16,E:E,U16, A:A,"fall")</f>
        <v>16</v>
      </c>
      <c r="Y16" s="15">
        <f>X16/(X16+W16+V16)*100</f>
        <v>26.666666666666668</v>
      </c>
      <c r="Z16" s="14">
        <f>(V16+W16)/2</f>
        <v>22</v>
      </c>
      <c r="AA16" s="14">
        <f>Z16</f>
        <v>22</v>
      </c>
      <c r="AB16" s="48">
        <f>_xlfn.CHISQ.TEST(V16:W16,Z16:AA16)</f>
        <v>1</v>
      </c>
      <c r="AC16" s="10"/>
    </row>
    <row r="17" spans="1:34" x14ac:dyDescent="0.25">
      <c r="A17" s="23" t="s">
        <v>38</v>
      </c>
      <c r="B17" s="24">
        <v>45258</v>
      </c>
      <c r="C17" s="25" t="s">
        <v>9</v>
      </c>
      <c r="D17" s="23" t="s">
        <v>18</v>
      </c>
      <c r="E17" s="23" t="s">
        <v>11</v>
      </c>
      <c r="F17" s="23" t="s">
        <v>12</v>
      </c>
      <c r="G17" s="23">
        <v>5</v>
      </c>
      <c r="H17" s="23">
        <v>1</v>
      </c>
      <c r="I17" s="23">
        <v>9</v>
      </c>
      <c r="J17" s="23">
        <v>0.2</v>
      </c>
      <c r="K17" s="41" t="s">
        <v>33</v>
      </c>
      <c r="L17" s="23"/>
      <c r="M17" s="23"/>
      <c r="N17" s="23"/>
      <c r="O17" s="23"/>
      <c r="S17" s="10"/>
      <c r="T17" s="11"/>
      <c r="U17" s="11"/>
      <c r="V17" s="11"/>
      <c r="W17" s="11"/>
      <c r="X17" s="11"/>
      <c r="Y17" s="11"/>
      <c r="Z17" s="11"/>
      <c r="AA17" s="11"/>
      <c r="AB17" s="49"/>
      <c r="AC17" s="10"/>
    </row>
    <row r="18" spans="1:34" x14ac:dyDescent="0.25">
      <c r="A18" s="23" t="s">
        <v>38</v>
      </c>
      <c r="B18" s="24">
        <v>45258</v>
      </c>
      <c r="C18" s="25" t="s">
        <v>9</v>
      </c>
      <c r="D18" s="23" t="s">
        <v>10</v>
      </c>
      <c r="E18" s="23" t="s">
        <v>11</v>
      </c>
      <c r="F18" s="23" t="s">
        <v>12</v>
      </c>
      <c r="G18" s="23">
        <v>4</v>
      </c>
      <c r="H18" s="23">
        <v>6</v>
      </c>
      <c r="I18" s="23">
        <v>5</v>
      </c>
      <c r="J18" s="23">
        <v>0.2</v>
      </c>
      <c r="K18" s="41" t="s">
        <v>33</v>
      </c>
      <c r="L18" s="23"/>
      <c r="M18" s="23"/>
      <c r="N18" s="23"/>
      <c r="O18" s="23"/>
      <c r="S18" s="10"/>
      <c r="T18" s="11"/>
      <c r="U18" s="11"/>
      <c r="V18" s="12" t="s">
        <v>13</v>
      </c>
      <c r="W18" s="12" t="s">
        <v>26</v>
      </c>
      <c r="X18" s="12" t="s">
        <v>27</v>
      </c>
      <c r="Y18" s="12" t="s">
        <v>32</v>
      </c>
      <c r="Z18" s="12" t="s">
        <v>28</v>
      </c>
      <c r="AA18" s="12" t="s">
        <v>28</v>
      </c>
      <c r="AB18" s="50" t="s">
        <v>39</v>
      </c>
      <c r="AC18" s="10"/>
    </row>
    <row r="19" spans="1:34" x14ac:dyDescent="0.25">
      <c r="A19" s="26" t="s">
        <v>36</v>
      </c>
      <c r="B19" s="27">
        <v>45259</v>
      </c>
      <c r="C19" s="28" t="s">
        <v>9</v>
      </c>
      <c r="D19" s="26" t="s">
        <v>10</v>
      </c>
      <c r="E19" s="26" t="s">
        <v>11</v>
      </c>
      <c r="F19" s="26" t="s">
        <v>12</v>
      </c>
      <c r="G19" s="26">
        <v>7</v>
      </c>
      <c r="H19" s="26">
        <v>4</v>
      </c>
      <c r="I19" s="26">
        <v>4</v>
      </c>
      <c r="J19" s="26">
        <v>0.2</v>
      </c>
      <c r="K19" s="42" t="s">
        <v>37</v>
      </c>
      <c r="L19" s="26"/>
      <c r="M19" s="26"/>
      <c r="N19" s="26"/>
      <c r="O19" s="26"/>
      <c r="P19" s="1"/>
      <c r="Q19" s="1"/>
      <c r="R19" s="1"/>
      <c r="S19" s="10"/>
      <c r="T19" s="13" t="s">
        <v>29</v>
      </c>
      <c r="U19" s="17" t="s">
        <v>53</v>
      </c>
      <c r="V19" s="14">
        <f>SUMIFS(G:G,D:D,T19,E:E,U19, A:A,"fall")</f>
        <v>26</v>
      </c>
      <c r="W19" s="14">
        <f>SUMIFS($H:$H,$D:$D,$T19,$E:$E,U19, A:A, "fall")</f>
        <v>22</v>
      </c>
      <c r="X19" s="14">
        <f>SUMIFS(I:I,D:D,T19,E:E,U19, A:A,"fall")</f>
        <v>12</v>
      </c>
      <c r="Y19" s="15">
        <f>X19/(X19+W19+V19)*100</f>
        <v>20</v>
      </c>
      <c r="Z19" s="14">
        <f>(V19+W19)/2</f>
        <v>24</v>
      </c>
      <c r="AA19" s="14">
        <f>Z19</f>
        <v>24</v>
      </c>
      <c r="AB19" s="48">
        <f>_xlfn.CHISQ.TEST(V19:W19,Z19:AA19)</f>
        <v>0.56370286165077299</v>
      </c>
      <c r="AC19" s="10"/>
    </row>
    <row r="20" spans="1:34" x14ac:dyDescent="0.25">
      <c r="A20" s="26" t="s">
        <v>36</v>
      </c>
      <c r="B20" s="27">
        <v>45259</v>
      </c>
      <c r="C20" s="28" t="s">
        <v>9</v>
      </c>
      <c r="D20" s="26" t="s">
        <v>18</v>
      </c>
      <c r="E20" s="26" t="s">
        <v>11</v>
      </c>
      <c r="F20" s="26" t="s">
        <v>12</v>
      </c>
      <c r="G20" s="26">
        <v>4</v>
      </c>
      <c r="H20" s="26">
        <v>6</v>
      </c>
      <c r="I20" s="26">
        <v>5</v>
      </c>
      <c r="J20" s="26">
        <v>0.2</v>
      </c>
      <c r="K20" s="42" t="s">
        <v>37</v>
      </c>
      <c r="L20" s="26"/>
      <c r="M20" s="26"/>
      <c r="N20" s="26"/>
      <c r="O20" s="26"/>
      <c r="P20" s="1"/>
      <c r="Q20" s="1"/>
      <c r="R20" s="1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34" x14ac:dyDescent="0.25">
      <c r="A21" s="26" t="s">
        <v>36</v>
      </c>
      <c r="B21" s="27">
        <v>45260</v>
      </c>
      <c r="C21" s="28" t="s">
        <v>9</v>
      </c>
      <c r="D21" s="26" t="s">
        <v>10</v>
      </c>
      <c r="E21" s="26" t="s">
        <v>11</v>
      </c>
      <c r="F21" s="26" t="s">
        <v>12</v>
      </c>
      <c r="G21" s="26">
        <v>8</v>
      </c>
      <c r="H21" s="26">
        <v>2</v>
      </c>
      <c r="I21" s="26">
        <v>5</v>
      </c>
      <c r="J21" s="26">
        <v>0.2</v>
      </c>
      <c r="K21" s="42" t="s">
        <v>37</v>
      </c>
      <c r="L21" s="26"/>
      <c r="M21" s="26"/>
      <c r="N21" s="26"/>
      <c r="O21" s="26"/>
      <c r="P21" s="1"/>
      <c r="Q21" s="1"/>
      <c r="R21" s="6"/>
      <c r="S21" s="47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34" x14ac:dyDescent="0.25">
      <c r="A22" s="26" t="s">
        <v>36</v>
      </c>
      <c r="B22" s="27">
        <v>45260</v>
      </c>
      <c r="C22" s="28" t="s">
        <v>9</v>
      </c>
      <c r="D22" s="26" t="s">
        <v>18</v>
      </c>
      <c r="E22" s="26" t="s">
        <v>11</v>
      </c>
      <c r="F22" s="26" t="s">
        <v>12</v>
      </c>
      <c r="G22" s="26">
        <v>6</v>
      </c>
      <c r="H22" s="26">
        <v>1</v>
      </c>
      <c r="I22" s="26">
        <v>8</v>
      </c>
      <c r="J22" s="26">
        <v>0.2</v>
      </c>
      <c r="K22" s="42" t="s">
        <v>37</v>
      </c>
      <c r="L22" s="26"/>
      <c r="M22" s="26"/>
      <c r="N22" s="26"/>
      <c r="O22" s="26"/>
      <c r="P22" s="1"/>
      <c r="Q22" s="1"/>
      <c r="R22" s="6"/>
      <c r="S22" s="47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H22" s="51" t="s">
        <v>59</v>
      </c>
    </row>
    <row r="23" spans="1:34" x14ac:dyDescent="0.25">
      <c r="A23" s="26" t="s">
        <v>36</v>
      </c>
      <c r="B23" s="27">
        <v>45261</v>
      </c>
      <c r="C23" s="28" t="s">
        <v>9</v>
      </c>
      <c r="D23" s="26" t="s">
        <v>10</v>
      </c>
      <c r="E23" s="26" t="s">
        <v>11</v>
      </c>
      <c r="F23" s="26" t="s">
        <v>12</v>
      </c>
      <c r="G23" s="26">
        <v>7</v>
      </c>
      <c r="H23" s="26">
        <v>3</v>
      </c>
      <c r="I23" s="26">
        <v>5</v>
      </c>
      <c r="J23" s="26">
        <v>0.2</v>
      </c>
      <c r="K23" s="42" t="s">
        <v>37</v>
      </c>
      <c r="L23" s="26"/>
      <c r="M23" s="26"/>
      <c r="N23" s="26"/>
      <c r="O23" s="26"/>
      <c r="P23" s="1"/>
      <c r="Q23" s="1"/>
      <c r="R23" s="6"/>
      <c r="S23" s="47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34" x14ac:dyDescent="0.25">
      <c r="A24" s="26" t="s">
        <v>36</v>
      </c>
      <c r="B24" s="27">
        <v>45261</v>
      </c>
      <c r="C24" s="28" t="s">
        <v>9</v>
      </c>
      <c r="D24" s="26" t="s">
        <v>18</v>
      </c>
      <c r="E24" s="26" t="s">
        <v>11</v>
      </c>
      <c r="F24" s="26" t="s">
        <v>12</v>
      </c>
      <c r="G24" s="26">
        <v>6</v>
      </c>
      <c r="H24" s="26">
        <v>5</v>
      </c>
      <c r="I24" s="26">
        <v>4</v>
      </c>
      <c r="J24" s="26">
        <v>0.2</v>
      </c>
      <c r="K24" s="42" t="s">
        <v>37</v>
      </c>
      <c r="L24" s="26"/>
      <c r="M24" s="26"/>
      <c r="N24" s="26"/>
      <c r="O24" s="26"/>
      <c r="P24" s="1"/>
      <c r="Q24" s="1"/>
      <c r="R24" s="6"/>
    </row>
    <row r="25" spans="1:34" x14ac:dyDescent="0.25">
      <c r="A25" s="29" t="s">
        <v>36</v>
      </c>
      <c r="B25" s="30">
        <v>45265</v>
      </c>
      <c r="C25" s="31" t="s">
        <v>9</v>
      </c>
      <c r="D25" s="29" t="s">
        <v>18</v>
      </c>
      <c r="E25" s="29" t="s">
        <v>41</v>
      </c>
      <c r="F25" s="29" t="s">
        <v>12</v>
      </c>
      <c r="G25" s="29">
        <v>4</v>
      </c>
      <c r="H25" s="29">
        <v>9</v>
      </c>
      <c r="I25" s="29">
        <v>2</v>
      </c>
      <c r="J25" s="29">
        <v>0.2</v>
      </c>
      <c r="K25" s="43" t="s">
        <v>37</v>
      </c>
      <c r="L25" s="29"/>
      <c r="M25" s="29"/>
      <c r="N25" s="29"/>
      <c r="O25" s="29"/>
      <c r="P25" s="4"/>
      <c r="Q25" s="4"/>
      <c r="R25" s="5"/>
    </row>
    <row r="26" spans="1:34" x14ac:dyDescent="0.25">
      <c r="A26" s="29" t="s">
        <v>36</v>
      </c>
      <c r="B26" s="30">
        <v>45265</v>
      </c>
      <c r="C26" s="31" t="s">
        <v>9</v>
      </c>
      <c r="D26" s="29" t="s">
        <v>10</v>
      </c>
      <c r="E26" s="29" t="s">
        <v>41</v>
      </c>
      <c r="F26" s="29" t="s">
        <v>12</v>
      </c>
      <c r="G26" s="29">
        <v>5</v>
      </c>
      <c r="H26" s="29">
        <v>5</v>
      </c>
      <c r="I26" s="29">
        <v>5</v>
      </c>
      <c r="J26" s="29">
        <v>0.2</v>
      </c>
      <c r="K26" s="43" t="s">
        <v>37</v>
      </c>
      <c r="L26" s="29"/>
      <c r="M26" s="29"/>
      <c r="N26" s="29"/>
      <c r="O26" s="29"/>
      <c r="P26" s="4"/>
      <c r="Q26" s="4"/>
      <c r="R26" s="5"/>
      <c r="S26" s="2"/>
      <c r="AD26" t="s">
        <v>60</v>
      </c>
    </row>
    <row r="27" spans="1:34" x14ac:dyDescent="0.25">
      <c r="A27" s="29" t="s">
        <v>36</v>
      </c>
      <c r="B27" s="30">
        <v>45267</v>
      </c>
      <c r="C27" s="31" t="s">
        <v>9</v>
      </c>
      <c r="D27" s="29" t="s">
        <v>10</v>
      </c>
      <c r="E27" s="29" t="s">
        <v>41</v>
      </c>
      <c r="F27" s="29" t="s">
        <v>12</v>
      </c>
      <c r="G27" s="29">
        <v>6</v>
      </c>
      <c r="H27" s="29">
        <v>6</v>
      </c>
      <c r="I27" s="29">
        <v>3</v>
      </c>
      <c r="J27" s="29">
        <v>0.2</v>
      </c>
      <c r="K27" s="43" t="s">
        <v>37</v>
      </c>
      <c r="L27" s="29"/>
      <c r="M27" s="29"/>
      <c r="N27" s="29"/>
      <c r="O27" s="29"/>
      <c r="P27" s="4"/>
      <c r="Q27" s="4"/>
      <c r="R27" s="4"/>
      <c r="Z27" s="8"/>
      <c r="AC27" s="9" t="s">
        <v>11</v>
      </c>
      <c r="AD27" s="9">
        <f t="shared" ref="AD27:AD32" si="2">COUNTIF($E19:$E70,AC27)</f>
        <v>8</v>
      </c>
    </row>
    <row r="28" spans="1:34" x14ac:dyDescent="0.25">
      <c r="A28" s="29" t="s">
        <v>36</v>
      </c>
      <c r="B28" s="30">
        <v>45267</v>
      </c>
      <c r="C28" s="31" t="s">
        <v>9</v>
      </c>
      <c r="D28" s="29" t="s">
        <v>18</v>
      </c>
      <c r="E28" s="29" t="s">
        <v>41</v>
      </c>
      <c r="F28" s="29" t="s">
        <v>12</v>
      </c>
      <c r="G28" s="29">
        <v>7</v>
      </c>
      <c r="H28" s="29">
        <v>4</v>
      </c>
      <c r="I28" s="29">
        <v>4</v>
      </c>
      <c r="J28" s="29">
        <v>0.2</v>
      </c>
      <c r="K28" s="43" t="s">
        <v>37</v>
      </c>
      <c r="L28" s="29"/>
      <c r="M28" s="29"/>
      <c r="N28" s="29"/>
      <c r="O28" s="29"/>
      <c r="P28" s="4"/>
      <c r="Q28" s="4"/>
      <c r="R28" s="4"/>
      <c r="Z28" s="8"/>
      <c r="AC28" s="9" t="s">
        <v>41</v>
      </c>
      <c r="AD28" s="9">
        <f t="shared" si="2"/>
        <v>8</v>
      </c>
    </row>
    <row r="29" spans="1:34" x14ac:dyDescent="0.25">
      <c r="A29" s="29" t="s">
        <v>36</v>
      </c>
      <c r="B29" s="30">
        <v>45268</v>
      </c>
      <c r="C29" s="31" t="s">
        <v>9</v>
      </c>
      <c r="D29" s="29" t="s">
        <v>18</v>
      </c>
      <c r="E29" s="29" t="s">
        <v>41</v>
      </c>
      <c r="F29" s="29" t="s">
        <v>12</v>
      </c>
      <c r="G29" s="29">
        <v>4</v>
      </c>
      <c r="H29" s="29">
        <v>6</v>
      </c>
      <c r="I29" s="29">
        <v>5</v>
      </c>
      <c r="J29" s="29">
        <v>0.2</v>
      </c>
      <c r="K29" s="43" t="s">
        <v>37</v>
      </c>
      <c r="L29" s="29"/>
      <c r="M29" s="29"/>
      <c r="N29" s="29"/>
      <c r="O29" s="29"/>
      <c r="P29" s="4"/>
      <c r="Q29" s="4"/>
      <c r="R29" s="4"/>
      <c r="Z29" s="8"/>
      <c r="AC29" s="9" t="s">
        <v>42</v>
      </c>
      <c r="AD29" s="9">
        <f t="shared" si="2"/>
        <v>4</v>
      </c>
    </row>
    <row r="30" spans="1:34" x14ac:dyDescent="0.25">
      <c r="A30" s="29" t="s">
        <v>36</v>
      </c>
      <c r="B30" s="30">
        <v>45268</v>
      </c>
      <c r="C30" s="31" t="s">
        <v>9</v>
      </c>
      <c r="D30" s="29" t="s">
        <v>10</v>
      </c>
      <c r="E30" s="29" t="s">
        <v>41</v>
      </c>
      <c r="F30" s="29" t="s">
        <v>12</v>
      </c>
      <c r="G30" s="29">
        <v>5</v>
      </c>
      <c r="H30" s="29">
        <v>8</v>
      </c>
      <c r="I30" s="29">
        <v>2</v>
      </c>
      <c r="J30" s="29">
        <v>0.2</v>
      </c>
      <c r="K30" s="43" t="s">
        <v>37</v>
      </c>
      <c r="L30" s="29"/>
      <c r="M30" s="29"/>
      <c r="N30" s="29"/>
      <c r="O30" s="29"/>
      <c r="P30" s="4"/>
      <c r="Q30" s="4"/>
      <c r="R30" s="4"/>
      <c r="Z30" s="8"/>
      <c r="AC30" s="9" t="s">
        <v>44</v>
      </c>
      <c r="AD30" s="9">
        <f t="shared" si="2"/>
        <v>4</v>
      </c>
    </row>
    <row r="31" spans="1:34" x14ac:dyDescent="0.25">
      <c r="A31" s="32" t="s">
        <v>36</v>
      </c>
      <c r="B31" s="33">
        <v>45272</v>
      </c>
      <c r="C31" s="34" t="s">
        <v>9</v>
      </c>
      <c r="D31" s="32" t="s">
        <v>10</v>
      </c>
      <c r="E31" s="32" t="s">
        <v>42</v>
      </c>
      <c r="F31" s="32" t="s">
        <v>12</v>
      </c>
      <c r="G31" s="32">
        <v>4</v>
      </c>
      <c r="H31" s="32">
        <v>5</v>
      </c>
      <c r="I31" s="32">
        <v>6</v>
      </c>
      <c r="J31" s="32">
        <v>0.2</v>
      </c>
      <c r="K31" s="44" t="s">
        <v>37</v>
      </c>
      <c r="L31" s="32"/>
      <c r="M31" s="32"/>
      <c r="N31" s="32"/>
      <c r="O31" s="32"/>
      <c r="P31" s="7"/>
      <c r="Q31" s="7"/>
      <c r="R31" s="7"/>
      <c r="Z31" s="8"/>
      <c r="AC31" s="9" t="s">
        <v>55</v>
      </c>
      <c r="AD31" s="9">
        <f t="shared" si="2"/>
        <v>4</v>
      </c>
    </row>
    <row r="32" spans="1:34" x14ac:dyDescent="0.25">
      <c r="A32" s="32" t="s">
        <v>36</v>
      </c>
      <c r="B32" s="33">
        <v>45272</v>
      </c>
      <c r="C32" s="34" t="s">
        <v>9</v>
      </c>
      <c r="D32" s="32" t="s">
        <v>10</v>
      </c>
      <c r="E32" s="32" t="s">
        <v>42</v>
      </c>
      <c r="F32" s="32" t="s">
        <v>12</v>
      </c>
      <c r="G32" s="32">
        <v>8</v>
      </c>
      <c r="H32" s="32">
        <v>4</v>
      </c>
      <c r="I32" s="32">
        <v>3</v>
      </c>
      <c r="J32" s="32">
        <v>0.2</v>
      </c>
      <c r="K32" s="44" t="s">
        <v>37</v>
      </c>
      <c r="L32" s="32"/>
      <c r="M32" s="32"/>
      <c r="N32" s="32"/>
      <c r="O32" s="32"/>
      <c r="P32" s="7"/>
      <c r="Q32" s="7"/>
      <c r="R32" s="7"/>
      <c r="Z32" s="8"/>
      <c r="AC32" s="9" t="s">
        <v>54</v>
      </c>
      <c r="AD32" s="9">
        <f t="shared" si="2"/>
        <v>4</v>
      </c>
    </row>
    <row r="33" spans="1:26" x14ac:dyDescent="0.25">
      <c r="A33" s="32" t="s">
        <v>36</v>
      </c>
      <c r="B33" s="33">
        <v>45273</v>
      </c>
      <c r="C33" s="34" t="s">
        <v>9</v>
      </c>
      <c r="D33" s="32" t="s">
        <v>10</v>
      </c>
      <c r="E33" s="32" t="s">
        <v>42</v>
      </c>
      <c r="F33" s="32" t="s">
        <v>12</v>
      </c>
      <c r="G33" s="32">
        <v>5</v>
      </c>
      <c r="H33" s="32">
        <v>7</v>
      </c>
      <c r="I33" s="32">
        <v>3</v>
      </c>
      <c r="J33" s="32">
        <v>0.2</v>
      </c>
      <c r="K33" s="44" t="s">
        <v>37</v>
      </c>
      <c r="L33" s="32"/>
      <c r="M33" s="32"/>
      <c r="N33" s="32"/>
      <c r="O33" s="32"/>
      <c r="P33" s="7"/>
      <c r="Q33" s="7"/>
      <c r="R33" s="7"/>
      <c r="Z33" s="8"/>
    </row>
    <row r="34" spans="1:26" x14ac:dyDescent="0.25">
      <c r="A34" s="35" t="s">
        <v>36</v>
      </c>
      <c r="B34" s="36">
        <v>45273</v>
      </c>
      <c r="C34" s="37" t="s">
        <v>9</v>
      </c>
      <c r="D34" s="35" t="s">
        <v>10</v>
      </c>
      <c r="E34" s="35" t="s">
        <v>44</v>
      </c>
      <c r="F34" s="35" t="s">
        <v>12</v>
      </c>
      <c r="G34" s="35">
        <v>3</v>
      </c>
      <c r="H34" s="35">
        <v>6</v>
      </c>
      <c r="I34" s="35">
        <v>6</v>
      </c>
      <c r="J34" s="35">
        <v>0.2</v>
      </c>
      <c r="K34" s="45" t="s">
        <v>37</v>
      </c>
      <c r="L34" s="35"/>
      <c r="M34" s="35"/>
      <c r="N34" s="35"/>
      <c r="O34" s="35"/>
      <c r="P34" s="3"/>
      <c r="Q34" s="3"/>
      <c r="R34" s="3"/>
      <c r="Z34" s="8"/>
    </row>
    <row r="35" spans="1:26" x14ac:dyDescent="0.25">
      <c r="A35" s="32" t="s">
        <v>36</v>
      </c>
      <c r="B35" s="33">
        <v>45274</v>
      </c>
      <c r="C35" s="34" t="s">
        <v>9</v>
      </c>
      <c r="D35" s="32" t="s">
        <v>10</v>
      </c>
      <c r="E35" s="32" t="s">
        <v>42</v>
      </c>
      <c r="F35" s="32" t="s">
        <v>12</v>
      </c>
      <c r="G35" s="32">
        <v>6</v>
      </c>
      <c r="H35" s="32">
        <v>4</v>
      </c>
      <c r="I35" s="32">
        <v>5</v>
      </c>
      <c r="J35" s="32">
        <v>0.2</v>
      </c>
      <c r="K35" s="44" t="s">
        <v>37</v>
      </c>
      <c r="L35" s="32"/>
      <c r="M35" s="32"/>
      <c r="N35" s="32"/>
      <c r="O35" s="32"/>
      <c r="P35" s="7"/>
      <c r="Q35" s="7"/>
      <c r="R35" s="7"/>
      <c r="Z35" s="8"/>
    </row>
    <row r="36" spans="1:26" x14ac:dyDescent="0.25">
      <c r="A36" s="35" t="s">
        <v>36</v>
      </c>
      <c r="B36" s="36">
        <v>45274</v>
      </c>
      <c r="C36" s="37" t="s">
        <v>9</v>
      </c>
      <c r="D36" s="35" t="s">
        <v>10</v>
      </c>
      <c r="E36" s="35" t="s">
        <v>44</v>
      </c>
      <c r="F36" s="35" t="s">
        <v>12</v>
      </c>
      <c r="G36" s="35">
        <v>6</v>
      </c>
      <c r="H36" s="35">
        <v>6</v>
      </c>
      <c r="I36" s="35">
        <v>3</v>
      </c>
      <c r="J36" s="35">
        <v>0.2</v>
      </c>
      <c r="K36" s="45" t="s">
        <v>37</v>
      </c>
      <c r="L36" s="35"/>
      <c r="M36" s="35"/>
      <c r="N36" s="35"/>
      <c r="O36" s="35"/>
      <c r="P36" s="3"/>
      <c r="Q36" s="3"/>
      <c r="R36" s="3"/>
      <c r="Z36" s="8"/>
    </row>
    <row r="37" spans="1:26" x14ac:dyDescent="0.25">
      <c r="A37" s="35" t="s">
        <v>36</v>
      </c>
      <c r="B37" s="36">
        <v>45275</v>
      </c>
      <c r="C37" s="37" t="s">
        <v>9</v>
      </c>
      <c r="D37" s="35" t="s">
        <v>10</v>
      </c>
      <c r="E37" s="35" t="s">
        <v>44</v>
      </c>
      <c r="F37" s="35" t="s">
        <v>12</v>
      </c>
      <c r="G37" s="35">
        <v>7</v>
      </c>
      <c r="H37" s="35">
        <v>5</v>
      </c>
      <c r="I37" s="35">
        <v>3</v>
      </c>
      <c r="J37" s="35">
        <v>0.2</v>
      </c>
      <c r="K37" s="45" t="s">
        <v>37</v>
      </c>
      <c r="L37" s="35"/>
      <c r="M37" s="35"/>
      <c r="N37" s="35"/>
      <c r="O37" s="35"/>
      <c r="P37" s="3"/>
      <c r="Q37" s="3"/>
      <c r="R37" s="3"/>
      <c r="Z37" s="8"/>
    </row>
    <row r="38" spans="1:26" x14ac:dyDescent="0.25">
      <c r="A38" s="35" t="s">
        <v>36</v>
      </c>
      <c r="B38" s="36">
        <v>45275</v>
      </c>
      <c r="C38" s="37" t="s">
        <v>9</v>
      </c>
      <c r="D38" s="35" t="s">
        <v>10</v>
      </c>
      <c r="E38" s="35" t="s">
        <v>44</v>
      </c>
      <c r="F38" s="35" t="s">
        <v>12</v>
      </c>
      <c r="G38" s="35">
        <v>6</v>
      </c>
      <c r="H38" s="35">
        <v>7</v>
      </c>
      <c r="I38" s="35">
        <v>2</v>
      </c>
      <c r="J38" s="35">
        <v>0.2</v>
      </c>
      <c r="K38" s="45" t="s">
        <v>37</v>
      </c>
      <c r="L38" s="35"/>
      <c r="M38" s="35"/>
      <c r="N38" s="35"/>
      <c r="O38" s="35"/>
      <c r="P38" s="3"/>
      <c r="Q38" s="3"/>
      <c r="R38" s="3"/>
      <c r="Z38" s="8"/>
    </row>
    <row r="39" spans="1:26" x14ac:dyDescent="0.25">
      <c r="A39" s="29" t="s">
        <v>36</v>
      </c>
      <c r="B39" s="30">
        <v>45279</v>
      </c>
      <c r="C39" s="31" t="s">
        <v>9</v>
      </c>
      <c r="D39" s="29" t="s">
        <v>10</v>
      </c>
      <c r="E39" s="29" t="s">
        <v>41</v>
      </c>
      <c r="F39" s="29" t="s">
        <v>12</v>
      </c>
      <c r="G39" s="29">
        <v>6</v>
      </c>
      <c r="H39" s="29">
        <v>4</v>
      </c>
      <c r="I39" s="29">
        <v>10</v>
      </c>
      <c r="J39" s="29">
        <v>0.2</v>
      </c>
      <c r="K39" s="43" t="s">
        <v>37</v>
      </c>
      <c r="L39" s="29"/>
      <c r="M39" s="29"/>
      <c r="N39" s="29"/>
      <c r="O39" s="29"/>
      <c r="P39" s="4"/>
      <c r="Q39" s="4"/>
      <c r="R39" s="4"/>
    </row>
    <row r="40" spans="1:26" x14ac:dyDescent="0.25">
      <c r="A40" s="26" t="s">
        <v>36</v>
      </c>
      <c r="B40" s="27">
        <v>45279</v>
      </c>
      <c r="C40" s="28" t="s">
        <v>9</v>
      </c>
      <c r="D40" s="26" t="s">
        <v>10</v>
      </c>
      <c r="E40" s="26" t="s">
        <v>11</v>
      </c>
      <c r="F40" s="26" t="s">
        <v>12</v>
      </c>
      <c r="G40" s="26">
        <v>4</v>
      </c>
      <c r="H40" s="26">
        <v>3</v>
      </c>
      <c r="I40" s="26">
        <v>8</v>
      </c>
      <c r="J40" s="26">
        <v>0.2</v>
      </c>
      <c r="K40" s="42" t="s">
        <v>37</v>
      </c>
      <c r="L40" s="26"/>
      <c r="M40" s="26"/>
      <c r="N40" s="26"/>
      <c r="O40" s="26"/>
      <c r="P40" s="1"/>
      <c r="Q40" s="1"/>
      <c r="R40" s="1"/>
    </row>
    <row r="41" spans="1:26" x14ac:dyDescent="0.25">
      <c r="A41" s="30" t="s">
        <v>36</v>
      </c>
      <c r="B41" s="30">
        <v>45280</v>
      </c>
      <c r="C41" s="31" t="s">
        <v>9</v>
      </c>
      <c r="D41" s="29" t="s">
        <v>18</v>
      </c>
      <c r="E41" s="29" t="s">
        <v>41</v>
      </c>
      <c r="F41" s="29" t="s">
        <v>12</v>
      </c>
      <c r="G41" s="29">
        <v>5</v>
      </c>
      <c r="H41" s="29">
        <v>3</v>
      </c>
      <c r="I41" s="29">
        <v>7</v>
      </c>
      <c r="J41" s="29">
        <v>0.2</v>
      </c>
      <c r="K41" s="43" t="s">
        <v>37</v>
      </c>
      <c r="L41" s="29"/>
      <c r="M41" s="29"/>
      <c r="N41" s="29"/>
      <c r="O41" s="29"/>
      <c r="P41" s="4"/>
      <c r="Q41" s="4"/>
      <c r="R41" s="4"/>
    </row>
    <row r="42" spans="1:26" x14ac:dyDescent="0.25">
      <c r="A42" s="26" t="s">
        <v>36</v>
      </c>
      <c r="B42" s="27">
        <v>45280</v>
      </c>
      <c r="C42" s="28" t="s">
        <v>9</v>
      </c>
      <c r="D42" s="26" t="s">
        <v>18</v>
      </c>
      <c r="E42" s="26" t="s">
        <v>11</v>
      </c>
      <c r="F42" s="26" t="s">
        <v>12</v>
      </c>
      <c r="G42" s="26">
        <v>3</v>
      </c>
      <c r="H42" s="26">
        <v>4</v>
      </c>
      <c r="I42" s="26">
        <v>8</v>
      </c>
      <c r="J42" s="26">
        <v>0.2</v>
      </c>
      <c r="K42" s="42" t="s">
        <v>37</v>
      </c>
      <c r="L42" s="26"/>
      <c r="M42" s="26"/>
      <c r="N42" s="26"/>
      <c r="O42" s="26"/>
      <c r="P42" s="1"/>
      <c r="Q42" s="1"/>
      <c r="R42" s="1"/>
    </row>
    <row r="43" spans="1:26" x14ac:dyDescent="0.25">
      <c r="A43" s="57" t="s">
        <v>36</v>
      </c>
      <c r="B43" s="58">
        <v>45281</v>
      </c>
      <c r="C43" s="59" t="s">
        <v>9</v>
      </c>
      <c r="D43" s="57" t="s">
        <v>10</v>
      </c>
      <c r="E43" s="57" t="s">
        <v>54</v>
      </c>
      <c r="F43" s="57" t="s">
        <v>12</v>
      </c>
      <c r="G43" s="57">
        <v>5</v>
      </c>
      <c r="H43" s="57">
        <v>6</v>
      </c>
      <c r="I43" s="57">
        <v>4</v>
      </c>
      <c r="J43" s="57">
        <v>0.2</v>
      </c>
      <c r="K43" s="60" t="s">
        <v>37</v>
      </c>
      <c r="L43" s="57"/>
      <c r="M43" s="57"/>
      <c r="N43" s="57"/>
      <c r="O43" s="57"/>
      <c r="P43" s="61"/>
      <c r="Q43" s="61"/>
      <c r="R43" s="61"/>
    </row>
    <row r="44" spans="1:26" x14ac:dyDescent="0.25">
      <c r="A44" s="57" t="s">
        <v>36</v>
      </c>
      <c r="B44" s="58">
        <v>45281</v>
      </c>
      <c r="C44" s="59" t="s">
        <v>9</v>
      </c>
      <c r="D44" s="57" t="s">
        <v>10</v>
      </c>
      <c r="E44" s="57" t="s">
        <v>54</v>
      </c>
      <c r="F44" s="57" t="s">
        <v>12</v>
      </c>
      <c r="G44" s="57">
        <v>5</v>
      </c>
      <c r="H44" s="57">
        <v>6</v>
      </c>
      <c r="I44" s="57">
        <v>4</v>
      </c>
      <c r="J44" s="57">
        <v>0.2</v>
      </c>
      <c r="K44" s="60" t="s">
        <v>37</v>
      </c>
      <c r="L44" s="57"/>
      <c r="M44" s="57"/>
      <c r="N44" s="57"/>
      <c r="O44" s="57"/>
      <c r="P44" s="61"/>
      <c r="Q44" s="61"/>
      <c r="R44" s="61"/>
    </row>
    <row r="45" spans="1:26" x14ac:dyDescent="0.25">
      <c r="A45" s="57" t="s">
        <v>36</v>
      </c>
      <c r="B45" s="58">
        <v>45295</v>
      </c>
      <c r="C45" s="59" t="s">
        <v>9</v>
      </c>
      <c r="D45" s="57" t="s">
        <v>10</v>
      </c>
      <c r="E45" s="57" t="s">
        <v>54</v>
      </c>
      <c r="F45" s="57" t="s">
        <v>12</v>
      </c>
      <c r="G45" s="57">
        <v>6</v>
      </c>
      <c r="H45" s="57">
        <v>6</v>
      </c>
      <c r="I45" s="57">
        <v>3</v>
      </c>
      <c r="J45" s="57">
        <v>0.2</v>
      </c>
      <c r="K45" s="60" t="s">
        <v>37</v>
      </c>
      <c r="L45" s="57"/>
      <c r="M45" s="57"/>
      <c r="N45" s="57"/>
      <c r="O45" s="57"/>
      <c r="P45" s="61"/>
      <c r="Q45" s="61"/>
      <c r="R45" s="61"/>
    </row>
    <row r="46" spans="1:26" x14ac:dyDescent="0.25">
      <c r="A46" s="57" t="s">
        <v>36</v>
      </c>
      <c r="B46" s="58">
        <v>45295</v>
      </c>
      <c r="C46" s="59" t="s">
        <v>9</v>
      </c>
      <c r="D46" s="57" t="s">
        <v>10</v>
      </c>
      <c r="E46" s="57" t="s">
        <v>54</v>
      </c>
      <c r="F46" s="57" t="s">
        <v>12</v>
      </c>
      <c r="G46" s="57">
        <v>6</v>
      </c>
      <c r="H46" s="57">
        <v>4</v>
      </c>
      <c r="I46" s="57">
        <v>5</v>
      </c>
      <c r="J46" s="57">
        <v>0.2</v>
      </c>
      <c r="K46" s="60" t="s">
        <v>37</v>
      </c>
      <c r="L46" s="57"/>
      <c r="M46" s="57"/>
      <c r="N46" s="57"/>
      <c r="O46" s="57"/>
      <c r="P46" s="61"/>
      <c r="Q46" s="61"/>
      <c r="R46" s="61"/>
    </row>
    <row r="47" spans="1:26" x14ac:dyDescent="0.25">
      <c r="A47" s="52" t="s">
        <v>36</v>
      </c>
      <c r="B47" s="52">
        <v>45296</v>
      </c>
      <c r="C47" s="53" t="s">
        <v>9</v>
      </c>
      <c r="D47" s="54" t="s">
        <v>10</v>
      </c>
      <c r="E47" s="52" t="s">
        <v>55</v>
      </c>
      <c r="F47" s="54" t="s">
        <v>12</v>
      </c>
      <c r="G47" s="54">
        <v>5</v>
      </c>
      <c r="H47" s="54">
        <v>9</v>
      </c>
      <c r="I47" s="54">
        <v>1</v>
      </c>
      <c r="J47" s="54">
        <v>0.2</v>
      </c>
      <c r="K47" s="56" t="s">
        <v>37</v>
      </c>
      <c r="L47" s="54"/>
      <c r="M47" s="54"/>
      <c r="N47" s="52"/>
      <c r="O47" s="52"/>
      <c r="P47" s="53"/>
      <c r="Q47" s="54"/>
      <c r="R47" s="54"/>
    </row>
    <row r="48" spans="1:26" x14ac:dyDescent="0.25">
      <c r="A48" s="52" t="s">
        <v>36</v>
      </c>
      <c r="B48" s="52">
        <v>45296</v>
      </c>
      <c r="C48" s="53" t="s">
        <v>9</v>
      </c>
      <c r="D48" s="54" t="s">
        <v>10</v>
      </c>
      <c r="E48" s="52" t="s">
        <v>55</v>
      </c>
      <c r="F48" s="54" t="s">
        <v>12</v>
      </c>
      <c r="G48" s="54">
        <v>10</v>
      </c>
      <c r="H48" s="54">
        <v>2</v>
      </c>
      <c r="I48" s="54">
        <v>3</v>
      </c>
      <c r="J48" s="54">
        <v>0.2</v>
      </c>
      <c r="K48" s="56" t="s">
        <v>37</v>
      </c>
      <c r="L48" s="54"/>
      <c r="M48" s="54"/>
      <c r="N48" s="52"/>
      <c r="O48" s="52"/>
      <c r="P48" s="53"/>
      <c r="Q48" s="54"/>
      <c r="R48" s="54"/>
    </row>
    <row r="49" spans="1:18" x14ac:dyDescent="0.25">
      <c r="A49" s="52" t="s">
        <v>36</v>
      </c>
      <c r="B49" s="52">
        <v>45301</v>
      </c>
      <c r="C49" s="53" t="s">
        <v>9</v>
      </c>
      <c r="D49" s="54" t="s">
        <v>10</v>
      </c>
      <c r="E49" s="52" t="s">
        <v>55</v>
      </c>
      <c r="F49" s="54" t="s">
        <v>12</v>
      </c>
      <c r="G49" s="54">
        <v>5</v>
      </c>
      <c r="H49" s="54">
        <v>6</v>
      </c>
      <c r="I49" s="54">
        <v>4</v>
      </c>
      <c r="J49" s="54">
        <v>0.2</v>
      </c>
      <c r="K49" s="56" t="s">
        <v>37</v>
      </c>
      <c r="L49" s="54"/>
      <c r="M49" s="54"/>
      <c r="N49" s="52"/>
      <c r="O49" s="52"/>
      <c r="P49" s="53"/>
      <c r="Q49" s="54"/>
      <c r="R49" s="54"/>
    </row>
    <row r="50" spans="1:18" x14ac:dyDescent="0.25">
      <c r="A50" s="52" t="s">
        <v>36</v>
      </c>
      <c r="B50" s="52">
        <v>45301</v>
      </c>
      <c r="C50" s="53" t="s">
        <v>9</v>
      </c>
      <c r="D50" s="54" t="s">
        <v>10</v>
      </c>
      <c r="E50" s="52" t="s">
        <v>55</v>
      </c>
      <c r="F50" s="54" t="s">
        <v>12</v>
      </c>
      <c r="G50" s="54">
        <v>6</v>
      </c>
      <c r="H50" s="54">
        <v>5</v>
      </c>
      <c r="I50" s="54">
        <v>4</v>
      </c>
      <c r="J50" s="54">
        <v>0.2</v>
      </c>
      <c r="K50" s="56" t="s">
        <v>37</v>
      </c>
      <c r="L50" s="54"/>
      <c r="M50" s="54"/>
      <c r="N50" s="52"/>
      <c r="O50" s="52"/>
      <c r="P50" s="53"/>
      <c r="Q50" s="54"/>
      <c r="R50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7976-7588-4EE1-B1C4-63C9AE6EF1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janthinus y-tubes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Hofland, Megan</dc:creator>
  <cp:lastModifiedBy>Hofland, Megan</cp:lastModifiedBy>
  <dcterms:created xsi:type="dcterms:W3CDTF">2023-10-31T17:48:33Z</dcterms:created>
  <dcterms:modified xsi:type="dcterms:W3CDTF">2024-03-07T22:40:27Z</dcterms:modified>
</cp:coreProperties>
</file>