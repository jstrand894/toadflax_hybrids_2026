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https://montanaedu-my.sharepoint.com/personal/f59b627_msu_montana_edu/Documents/BoxMigratedData/toadflax/2023 Toadflax Project/Y-Tubes/"/>
    </mc:Choice>
  </mc:AlternateContent>
  <xr:revisionPtr revIDLastSave="184" documentId="11_27EF5E0177A64D8B8D929969FB521417CEE9E9CC" xr6:coauthVersionLast="47" xr6:coauthVersionMax="47" xr10:uidLastSave="{C772A5B2-78BD-48DE-88D7-0B3F4A8B54C4}"/>
  <bookViews>
    <workbookView xWindow="2295" yWindow="2295" windowWidth="21600" windowHeight="11385" xr2:uid="{00000000-000D-0000-FFFF-FFFF00000000}"/>
  </bookViews>
  <sheets>
    <sheet name="janthiniformis" sheetId="1" r:id="rId1"/>
  </sheets>
  <definedNames>
    <definedName name="_xlnm._FilterDatabase" localSheetId="0" hidden="1">janthiniformis!$A$1:$I$34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/>
  <c r="O2" i="1"/>
  <c r="P2" i="1"/>
  <c r="N26" i="1"/>
  <c r="N3" i="1"/>
  <c r="O3" i="1"/>
  <c r="P3" i="1"/>
  <c r="N27" i="1"/>
  <c r="N6" i="1"/>
  <c r="O6" i="1"/>
  <c r="P6" i="1"/>
  <c r="N7" i="1"/>
  <c r="O7" i="1"/>
  <c r="P7" i="1"/>
  <c r="N10" i="1"/>
  <c r="O10" i="1"/>
  <c r="P10" i="1"/>
  <c r="N13" i="1"/>
  <c r="O13" i="1"/>
  <c r="P13" i="1"/>
  <c r="N16" i="1"/>
  <c r="O16" i="1"/>
  <c r="P16" i="1"/>
  <c r="N19" i="1"/>
  <c r="O19" i="1"/>
  <c r="P19" i="1"/>
  <c r="N28" i="1"/>
  <c r="N29" i="1"/>
  <c r="N30" i="1"/>
  <c r="N31" i="1"/>
  <c r="N32" i="1"/>
  <c r="N33" i="1"/>
  <c r="R2" i="1" l="1"/>
  <c r="S2" i="1" s="1"/>
  <c r="T2" i="1" s="1"/>
  <c r="Q16" i="1"/>
  <c r="Q6" i="1"/>
  <c r="Q3" i="1"/>
  <c r="R19" i="1"/>
  <c r="S19" i="1" s="1"/>
  <c r="T19" i="1" s="1"/>
  <c r="R10" i="1"/>
  <c r="S10" i="1" s="1"/>
  <c r="T10" i="1" s="1"/>
  <c r="Q2" i="1"/>
  <c r="R3" i="1"/>
  <c r="S3" i="1" s="1"/>
  <c r="Q19" i="1"/>
  <c r="Q10" i="1"/>
  <c r="Q7" i="1"/>
  <c r="R6" i="1"/>
  <c r="S6" i="1" s="1"/>
  <c r="Q13" i="1"/>
  <c r="R7" i="1"/>
  <c r="S7" i="1" s="1"/>
  <c r="R13" i="1"/>
  <c r="R16" i="1"/>
  <c r="S16" i="1" s="1"/>
  <c r="T3" i="1" l="1"/>
  <c r="T7" i="1"/>
  <c r="T6" i="1"/>
  <c r="T16" i="1"/>
  <c r="S13" i="1"/>
  <c r="T13" i="1" s="1"/>
</calcChain>
</file>

<file path=xl/sharedStrings.xml><?xml version="1.0" encoding="utf-8"?>
<sst xmlns="http://schemas.openxmlformats.org/spreadsheetml/2006/main" count="262" uniqueCount="37">
  <si>
    <t>Date</t>
  </si>
  <si>
    <t>Species</t>
  </si>
  <si>
    <t>Sex</t>
  </si>
  <si>
    <t>Pos Trt</t>
  </si>
  <si>
    <t>Neg Trt</t>
  </si>
  <si>
    <t># Pos</t>
  </si>
  <si>
    <t># Neg</t>
  </si>
  <si>
    <t># NR</t>
  </si>
  <si>
    <t>Notes</t>
  </si>
  <si>
    <t>+</t>
  </si>
  <si>
    <t>-</t>
  </si>
  <si>
    <t>Expected</t>
  </si>
  <si>
    <t>Janthiniformis</t>
  </si>
  <si>
    <t>Female</t>
  </si>
  <si>
    <t>DT6</t>
  </si>
  <si>
    <t>Blank</t>
  </si>
  <si>
    <t>Male</t>
  </si>
  <si>
    <t>YT6</t>
  </si>
  <si>
    <t>D6Y6</t>
  </si>
  <si>
    <t>Y6D6</t>
  </si>
  <si>
    <t>HBR</t>
  </si>
  <si>
    <t>Rad</t>
  </si>
  <si>
    <t>NR</t>
  </si>
  <si>
    <t>%NR</t>
  </si>
  <si>
    <t>janthiniformis</t>
  </si>
  <si>
    <t>Trials</t>
  </si>
  <si>
    <t>p-value</t>
  </si>
  <si>
    <t>Notes:</t>
  </si>
  <si>
    <t>fall-collected insects</t>
  </si>
  <si>
    <t>spring-collected insects</t>
  </si>
  <si>
    <t>Insects extracted up to 48 hours before trial</t>
  </si>
  <si>
    <t xml:space="preserve"> Insects collected fall 22 and spring 23</t>
  </si>
  <si>
    <t>0.2 + 0.2 lpm</t>
  </si>
  <si>
    <t>5 minutes max. to respond</t>
  </si>
  <si>
    <t>dropped males after they didn't respond to yt6/dt6</t>
  </si>
  <si>
    <t>coin flip to choose plant location for trial</t>
  </si>
  <si>
    <t>coin flip to decide whether or not to use males or females first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</si>
</sst>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A8E86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/>
    <xf numFmtId="0" fontId="0" fillId="7" borderId="2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9" borderId="0" xfId="0" applyFill="1" applyAlignment="1">
      <alignment horizontal="center"/>
    </xf>
    <xf numFmtId="14" fontId="0" fillId="3" borderId="0" xfId="0" applyNumberForma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4" fontId="0" fillId="2" borderId="0" xfId="0" applyNumberForma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4" fontId="0" fillId="2" borderId="1" xfId="0" applyNumberForma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4" fontId="0" fillId="4" borderId="0" xfId="0" applyNumberForma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4" fontId="0" fillId="5" borderId="0" xfId="0" applyNumberForma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14" fontId="0" fillId="5" borderId="1" xfId="0" applyNumberForma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4" fontId="0" fillId="6" borderId="0" xfId="0" applyNumberForma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1" fillId="10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0" fillId="11" borderId="2" xfId="0" applyNumberFormat="1" applyFill="1" applyBorder="1" applyAlignment="1">
      <alignment horizontal="center"/>
    </xf>
    <xf numFmtId="14" fontId="0" fillId="10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3CC33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4F9AF35-1013-4170-AC17-12BC75C202A9}">
  <we:reference id="73d20708-c99a-400a-95ae-5f6b394f4054" version="2.0.0.0" store="EXCatalog" storeType="EXCatalog"/>
  <we:alternateReferences>
    <we:reference id="WA104379190" version="2.0.0.0" store="en-US" storeType="OMEX"/>
  </we:alternateReferences>
  <we:properties/>
  <we:bindings>
    <we:binding id="RangeSelect" type="matrix" appref="{2FA38CA9-86CE-4815-B172-8A5E726E9429}"/>
  </we:bindings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5"/>
  <sheetViews>
    <sheetView tabSelected="1" workbookViewId="0">
      <pane ySplit="1" topLeftCell="A2" activePane="bottomLeft" state="frozen"/>
      <selection pane="bottomLeft" activeCell="J13" sqref="J13"/>
    </sheetView>
  </sheetViews>
  <sheetFormatPr defaultRowHeight="15" x14ac:dyDescent="0.25"/>
  <cols>
    <col min="1" max="1" width="9.7109375" bestFit="1" customWidth="1"/>
    <col min="2" max="2" width="14.140625" bestFit="1" customWidth="1"/>
    <col min="9" max="9" width="22.28515625" bestFit="1" customWidth="1"/>
    <col min="10" max="10" width="11" customWidth="1"/>
    <col min="12" max="12" width="7.5703125" bestFit="1" customWidth="1"/>
    <col min="13" max="13" width="5.28515625" bestFit="1" customWidth="1"/>
    <col min="14" max="14" width="5.7109375" bestFit="1" customWidth="1"/>
    <col min="15" max="15" width="3" bestFit="1" customWidth="1"/>
    <col min="16" max="16" width="3.5703125" bestFit="1" customWidth="1"/>
    <col min="17" max="17" width="5.140625" bestFit="1" customWidth="1"/>
  </cols>
  <sheetData>
    <row r="1" spans="1:24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L1" s="35"/>
      <c r="M1" s="35"/>
      <c r="N1" s="2" t="s">
        <v>9</v>
      </c>
      <c r="O1" s="2" t="s">
        <v>10</v>
      </c>
      <c r="P1" s="2" t="s">
        <v>22</v>
      </c>
      <c r="Q1" s="2" t="s">
        <v>23</v>
      </c>
      <c r="R1" s="2" t="s">
        <v>11</v>
      </c>
      <c r="S1" s="2" t="s">
        <v>11</v>
      </c>
      <c r="T1" s="2" t="s">
        <v>26</v>
      </c>
      <c r="W1" s="4" t="s">
        <v>27</v>
      </c>
    </row>
    <row r="2" spans="1:24" x14ac:dyDescent="0.25">
      <c r="A2" s="6">
        <v>45077</v>
      </c>
      <c r="B2" s="7" t="s">
        <v>24</v>
      </c>
      <c r="C2" s="8" t="s">
        <v>13</v>
      </c>
      <c r="D2" s="8" t="s">
        <v>14</v>
      </c>
      <c r="E2" s="8" t="s">
        <v>15</v>
      </c>
      <c r="F2" s="8">
        <v>8</v>
      </c>
      <c r="G2" s="8">
        <v>4</v>
      </c>
      <c r="H2" s="8">
        <v>3</v>
      </c>
      <c r="I2" s="8" t="s">
        <v>29</v>
      </c>
      <c r="L2" s="3" t="s">
        <v>13</v>
      </c>
      <c r="M2" s="3" t="s">
        <v>14</v>
      </c>
      <c r="N2" s="36">
        <f>SUMIFS(F:F,C:C,L2,D:D,M2)</f>
        <v>43</v>
      </c>
      <c r="O2" s="36">
        <f>SUMIFS($G:$G,$C:$C,$L2,$D:$D,M2)</f>
        <v>20</v>
      </c>
      <c r="P2" s="36">
        <f>SUMIFS(H:H,C:C,L2,D:D,M2)</f>
        <v>12</v>
      </c>
      <c r="Q2" s="37">
        <f>P2/(P2+O2+N2)*100</f>
        <v>16</v>
      </c>
      <c r="R2" s="36">
        <f>(N2+O2)/2</f>
        <v>31.5</v>
      </c>
      <c r="S2" s="36">
        <f>R2</f>
        <v>31.5</v>
      </c>
      <c r="T2" s="41">
        <f>_xlfn.CHISQ.TEST(N2:O2,R2:S2)</f>
        <v>3.7587686657452159E-3</v>
      </c>
      <c r="X2" t="s">
        <v>32</v>
      </c>
    </row>
    <row r="3" spans="1:24" x14ac:dyDescent="0.25">
      <c r="A3" s="6">
        <v>45077</v>
      </c>
      <c r="B3" s="7" t="s">
        <v>12</v>
      </c>
      <c r="C3" s="8" t="s">
        <v>16</v>
      </c>
      <c r="D3" s="8" t="s">
        <v>14</v>
      </c>
      <c r="E3" s="8" t="s">
        <v>15</v>
      </c>
      <c r="F3" s="8">
        <v>6</v>
      </c>
      <c r="G3" s="8">
        <v>6</v>
      </c>
      <c r="H3" s="8">
        <v>3</v>
      </c>
      <c r="I3" s="8" t="s">
        <v>29</v>
      </c>
      <c r="L3" s="3" t="s">
        <v>16</v>
      </c>
      <c r="M3" s="3" t="s">
        <v>14</v>
      </c>
      <c r="N3" s="36">
        <f>SUMIFS(F:F,C:C,L3,D:D,M3)</f>
        <v>24</v>
      </c>
      <c r="O3" s="36">
        <f>SUMIFS(G:G,C:C,L3,D:D,M3)</f>
        <v>23</v>
      </c>
      <c r="P3" s="36">
        <f>SUMIFS(H:H,C:C,L3,D:D,M3)</f>
        <v>13</v>
      </c>
      <c r="Q3" s="37">
        <f t="shared" ref="Q3:Q19" si="0">P3/(P3+O3+N3)*100</f>
        <v>21.666666666666668</v>
      </c>
      <c r="R3" s="36">
        <f t="shared" ref="R3:R19" si="1">(N3+O3)/2</f>
        <v>23.5</v>
      </c>
      <c r="S3" s="36">
        <f t="shared" ref="S3:S19" si="2">R3</f>
        <v>23.5</v>
      </c>
      <c r="T3" s="38">
        <f>_xlfn.CHISQ.TEST(N3:O3,R3:S3)</f>
        <v>0.88402796868068212</v>
      </c>
      <c r="X3" t="s">
        <v>35</v>
      </c>
    </row>
    <row r="4" spans="1:24" x14ac:dyDescent="0.25">
      <c r="A4" s="6">
        <v>45078</v>
      </c>
      <c r="B4" s="7" t="s">
        <v>12</v>
      </c>
      <c r="C4" s="8" t="s">
        <v>16</v>
      </c>
      <c r="D4" s="8" t="s">
        <v>14</v>
      </c>
      <c r="E4" s="8" t="s">
        <v>15</v>
      </c>
      <c r="F4" s="8">
        <v>3</v>
      </c>
      <c r="G4" s="8">
        <v>10</v>
      </c>
      <c r="H4" s="8">
        <v>2</v>
      </c>
      <c r="I4" s="8" t="s">
        <v>29</v>
      </c>
      <c r="L4" s="35"/>
      <c r="M4" s="35"/>
      <c r="N4" s="35"/>
      <c r="O4" s="35"/>
      <c r="P4" s="35"/>
      <c r="Q4" s="39"/>
      <c r="R4" s="35"/>
      <c r="S4" s="35"/>
      <c r="T4" s="40"/>
      <c r="X4" t="s">
        <v>36</v>
      </c>
    </row>
    <row r="5" spans="1:24" x14ac:dyDescent="0.25">
      <c r="A5" s="6">
        <v>45078</v>
      </c>
      <c r="B5" s="7" t="s">
        <v>24</v>
      </c>
      <c r="C5" s="8" t="s">
        <v>13</v>
      </c>
      <c r="D5" s="8" t="s">
        <v>14</v>
      </c>
      <c r="E5" s="8" t="s">
        <v>15</v>
      </c>
      <c r="F5" s="8">
        <v>12</v>
      </c>
      <c r="G5" s="8">
        <v>1</v>
      </c>
      <c r="H5" s="8">
        <v>2</v>
      </c>
      <c r="I5" s="8" t="s">
        <v>29</v>
      </c>
      <c r="L5" s="35"/>
      <c r="M5" s="35"/>
      <c r="N5" s="2" t="s">
        <v>9</v>
      </c>
      <c r="O5" s="2" t="s">
        <v>10</v>
      </c>
      <c r="P5" s="2" t="s">
        <v>22</v>
      </c>
      <c r="Q5" s="2" t="s">
        <v>23</v>
      </c>
      <c r="R5" s="2" t="s">
        <v>11</v>
      </c>
      <c r="S5" s="2" t="s">
        <v>11</v>
      </c>
      <c r="T5" s="2" t="s">
        <v>26</v>
      </c>
      <c r="X5" t="s">
        <v>30</v>
      </c>
    </row>
    <row r="6" spans="1:24" x14ac:dyDescent="0.25">
      <c r="A6" s="6">
        <v>45079</v>
      </c>
      <c r="B6" s="7" t="s">
        <v>12</v>
      </c>
      <c r="C6" s="8" t="s">
        <v>16</v>
      </c>
      <c r="D6" s="8" t="s">
        <v>14</v>
      </c>
      <c r="E6" s="8" t="s">
        <v>15</v>
      </c>
      <c r="F6" s="8">
        <v>6</v>
      </c>
      <c r="G6" s="8">
        <v>4</v>
      </c>
      <c r="H6" s="8">
        <v>5</v>
      </c>
      <c r="I6" s="8" t="s">
        <v>29</v>
      </c>
      <c r="L6" s="3" t="s">
        <v>13</v>
      </c>
      <c r="M6" s="3" t="s">
        <v>17</v>
      </c>
      <c r="N6" s="36">
        <f>SUMIFS(F:F,C:C,L6,D:D,M6)</f>
        <v>31</v>
      </c>
      <c r="O6" s="36">
        <f>SUMIFS(G:G,C:C,L6,D:D,M6)</f>
        <v>20</v>
      </c>
      <c r="P6" s="36">
        <f>SUMIFS(H:H,C:C,L6,D:D,M6)</f>
        <v>9</v>
      </c>
      <c r="Q6" s="37">
        <f t="shared" si="0"/>
        <v>15</v>
      </c>
      <c r="R6" s="36">
        <f t="shared" si="1"/>
        <v>25.5</v>
      </c>
      <c r="S6" s="36">
        <f t="shared" si="2"/>
        <v>25.5</v>
      </c>
      <c r="T6" s="38">
        <f>_xlfn.CHISQ.TEST(N6:O6,R6:S6)</f>
        <v>0.12348527214454894</v>
      </c>
      <c r="X6" t="s">
        <v>31</v>
      </c>
    </row>
    <row r="7" spans="1:24" x14ac:dyDescent="0.25">
      <c r="A7" s="6">
        <v>45079</v>
      </c>
      <c r="B7" s="7" t="s">
        <v>24</v>
      </c>
      <c r="C7" s="8" t="s">
        <v>13</v>
      </c>
      <c r="D7" s="8" t="s">
        <v>14</v>
      </c>
      <c r="E7" s="8" t="s">
        <v>15</v>
      </c>
      <c r="F7" s="8">
        <v>9</v>
      </c>
      <c r="G7" s="8">
        <v>4</v>
      </c>
      <c r="H7" s="8">
        <v>2</v>
      </c>
      <c r="I7" s="8" t="s">
        <v>29</v>
      </c>
      <c r="L7" s="3" t="s">
        <v>16</v>
      </c>
      <c r="M7" s="3" t="s">
        <v>17</v>
      </c>
      <c r="N7" s="36">
        <f>SUMIFS(F:F,C:C,L7,D:D,M7)</f>
        <v>23</v>
      </c>
      <c r="O7" s="36">
        <f>SUMIFS(G:G,C:C,L7,D:D,M7)</f>
        <v>19</v>
      </c>
      <c r="P7" s="36">
        <f>SUMIFS(H:H,C:C,L7,D:D,M7)</f>
        <v>18</v>
      </c>
      <c r="Q7" s="37">
        <f t="shared" si="0"/>
        <v>30</v>
      </c>
      <c r="R7" s="36">
        <f t="shared" si="1"/>
        <v>21</v>
      </c>
      <c r="S7" s="36">
        <f t="shared" si="2"/>
        <v>21</v>
      </c>
      <c r="T7" s="38">
        <f>_xlfn.CHISQ.TEST(N7:O7,R7:S7)</f>
        <v>0.53709397844264162</v>
      </c>
      <c r="X7" t="s">
        <v>33</v>
      </c>
    </row>
    <row r="8" spans="1:24" x14ac:dyDescent="0.25">
      <c r="A8" s="6">
        <v>45083</v>
      </c>
      <c r="B8" s="7" t="s">
        <v>12</v>
      </c>
      <c r="C8" s="8" t="s">
        <v>16</v>
      </c>
      <c r="D8" s="8" t="s">
        <v>14</v>
      </c>
      <c r="E8" s="8" t="s">
        <v>15</v>
      </c>
      <c r="F8" s="8">
        <v>9</v>
      </c>
      <c r="G8" s="8">
        <v>3</v>
      </c>
      <c r="H8" s="8">
        <v>3</v>
      </c>
      <c r="I8" s="8" t="s">
        <v>29</v>
      </c>
      <c r="L8" s="35"/>
      <c r="M8" s="35"/>
      <c r="N8" s="35"/>
      <c r="O8" s="35"/>
      <c r="P8" s="35"/>
      <c r="Q8" s="39"/>
      <c r="R8" s="35"/>
      <c r="S8" s="35"/>
      <c r="T8" s="40"/>
      <c r="X8" t="s">
        <v>34</v>
      </c>
    </row>
    <row r="9" spans="1:24" x14ac:dyDescent="0.25">
      <c r="A9" s="6">
        <v>45083</v>
      </c>
      <c r="B9" s="7" t="s">
        <v>24</v>
      </c>
      <c r="C9" s="8" t="s">
        <v>13</v>
      </c>
      <c r="D9" s="8" t="s">
        <v>14</v>
      </c>
      <c r="E9" s="8" t="s">
        <v>15</v>
      </c>
      <c r="F9" s="8">
        <v>3</v>
      </c>
      <c r="G9" s="8">
        <v>8</v>
      </c>
      <c r="H9" s="8">
        <v>4</v>
      </c>
      <c r="I9" s="8" t="s">
        <v>29</v>
      </c>
      <c r="L9" s="35"/>
      <c r="M9" s="35"/>
      <c r="N9" s="2" t="s">
        <v>9</v>
      </c>
      <c r="O9" s="2" t="s">
        <v>10</v>
      </c>
      <c r="P9" s="2" t="s">
        <v>22</v>
      </c>
      <c r="Q9" s="2" t="s">
        <v>23</v>
      </c>
      <c r="R9" s="2" t="s">
        <v>11</v>
      </c>
      <c r="S9" s="2" t="s">
        <v>11</v>
      </c>
      <c r="T9" s="2" t="s">
        <v>26</v>
      </c>
    </row>
    <row r="10" spans="1:24" x14ac:dyDescent="0.25">
      <c r="A10" s="9">
        <v>45084</v>
      </c>
      <c r="B10" s="10" t="s">
        <v>24</v>
      </c>
      <c r="C10" s="11" t="s">
        <v>13</v>
      </c>
      <c r="D10" s="11" t="s">
        <v>14</v>
      </c>
      <c r="E10" s="11" t="s">
        <v>15</v>
      </c>
      <c r="F10" s="11">
        <v>11</v>
      </c>
      <c r="G10" s="11">
        <v>3</v>
      </c>
      <c r="H10" s="11">
        <v>1</v>
      </c>
      <c r="I10" s="11" t="s">
        <v>29</v>
      </c>
      <c r="L10" s="3" t="s">
        <v>13</v>
      </c>
      <c r="M10" s="3" t="s">
        <v>18</v>
      </c>
      <c r="N10" s="36">
        <f>SUMIFS(F:F,C:C,L10,D:D,M10)</f>
        <v>36</v>
      </c>
      <c r="O10" s="36">
        <f>SUMIFS(G:G,C:C,L10,D:D,M10)</f>
        <v>21</v>
      </c>
      <c r="P10" s="36">
        <f>SUMIFS(H:H,C:C,L10,D:D,M10)</f>
        <v>18</v>
      </c>
      <c r="Q10" s="37">
        <f t="shared" si="0"/>
        <v>24</v>
      </c>
      <c r="R10" s="36">
        <f t="shared" si="1"/>
        <v>28.5</v>
      </c>
      <c r="S10" s="36">
        <f t="shared" si="2"/>
        <v>28.5</v>
      </c>
      <c r="T10" s="41">
        <f>_xlfn.CHISQ.TEST(N10:O10,R10:S10)</f>
        <v>4.6944726978481802E-2</v>
      </c>
    </row>
    <row r="11" spans="1:24" x14ac:dyDescent="0.25">
      <c r="A11" s="12">
        <v>45085</v>
      </c>
      <c r="B11" s="13" t="s">
        <v>24</v>
      </c>
      <c r="C11" s="14" t="s">
        <v>13</v>
      </c>
      <c r="D11" s="14" t="s">
        <v>17</v>
      </c>
      <c r="E11" s="14" t="s">
        <v>15</v>
      </c>
      <c r="F11" s="14">
        <v>7</v>
      </c>
      <c r="G11" s="14">
        <v>6</v>
      </c>
      <c r="H11" s="14">
        <v>2</v>
      </c>
      <c r="I11" s="14" t="s">
        <v>29</v>
      </c>
      <c r="L11" s="35"/>
      <c r="M11" s="35"/>
      <c r="N11" s="35"/>
      <c r="O11" s="35"/>
      <c r="P11" s="35"/>
      <c r="Q11" s="39"/>
      <c r="R11" s="35"/>
      <c r="S11" s="35"/>
      <c r="T11" s="40"/>
    </row>
    <row r="12" spans="1:24" x14ac:dyDescent="0.25">
      <c r="A12" s="12">
        <v>45085</v>
      </c>
      <c r="B12" s="13" t="s">
        <v>12</v>
      </c>
      <c r="C12" s="14" t="s">
        <v>16</v>
      </c>
      <c r="D12" s="14" t="s">
        <v>17</v>
      </c>
      <c r="E12" s="14" t="s">
        <v>15</v>
      </c>
      <c r="F12" s="14">
        <v>5</v>
      </c>
      <c r="G12" s="14">
        <v>8</v>
      </c>
      <c r="H12" s="14">
        <v>2</v>
      </c>
      <c r="I12" s="14" t="s">
        <v>29</v>
      </c>
      <c r="L12" s="35"/>
      <c r="M12" s="35"/>
      <c r="N12" s="2" t="s">
        <v>9</v>
      </c>
      <c r="O12" s="2" t="s">
        <v>10</v>
      </c>
      <c r="P12" s="2" t="s">
        <v>22</v>
      </c>
      <c r="Q12" s="2" t="s">
        <v>23</v>
      </c>
      <c r="R12" s="2" t="s">
        <v>11</v>
      </c>
      <c r="S12" s="2" t="s">
        <v>11</v>
      </c>
      <c r="T12" s="2" t="s">
        <v>26</v>
      </c>
    </row>
    <row r="13" spans="1:24" x14ac:dyDescent="0.25">
      <c r="A13" s="12">
        <v>45086</v>
      </c>
      <c r="B13" s="13" t="s">
        <v>12</v>
      </c>
      <c r="C13" s="14" t="s">
        <v>16</v>
      </c>
      <c r="D13" s="14" t="s">
        <v>17</v>
      </c>
      <c r="E13" s="14" t="s">
        <v>15</v>
      </c>
      <c r="F13" s="14">
        <v>7</v>
      </c>
      <c r="G13" s="14">
        <v>4</v>
      </c>
      <c r="H13" s="14">
        <v>4</v>
      </c>
      <c r="I13" s="14" t="s">
        <v>29</v>
      </c>
      <c r="L13" s="3" t="s">
        <v>13</v>
      </c>
      <c r="M13" s="3" t="s">
        <v>19</v>
      </c>
      <c r="N13" s="36">
        <f>SUMIFS(F:F,C:C,L13,D:D,M13)</f>
        <v>28</v>
      </c>
      <c r="O13" s="36">
        <f>SUMIFS(G:G,C:C,L13,D:D,M13)</f>
        <v>19</v>
      </c>
      <c r="P13" s="36">
        <f>SUMIFS(H:H,C:C,L13,D:D,M13)</f>
        <v>13</v>
      </c>
      <c r="Q13" s="37">
        <f t="shared" si="0"/>
        <v>21.666666666666668</v>
      </c>
      <c r="R13" s="36">
        <f t="shared" si="1"/>
        <v>23.5</v>
      </c>
      <c r="S13" s="36">
        <f t="shared" si="2"/>
        <v>23.5</v>
      </c>
      <c r="T13" s="38">
        <f>_xlfn.CHISQ.TEST(N13:O13,R13:S13)</f>
        <v>0.18925543169201758</v>
      </c>
    </row>
    <row r="14" spans="1:24" x14ac:dyDescent="0.25">
      <c r="A14" s="12">
        <v>45086</v>
      </c>
      <c r="B14" s="13" t="s">
        <v>24</v>
      </c>
      <c r="C14" s="14" t="s">
        <v>13</v>
      </c>
      <c r="D14" s="14" t="s">
        <v>17</v>
      </c>
      <c r="E14" s="14" t="s">
        <v>15</v>
      </c>
      <c r="F14" s="14">
        <v>8</v>
      </c>
      <c r="G14" s="14">
        <v>6</v>
      </c>
      <c r="H14" s="14">
        <v>1</v>
      </c>
      <c r="I14" s="14" t="s">
        <v>29</v>
      </c>
      <c r="L14" s="35"/>
      <c r="M14" s="35"/>
      <c r="N14" s="35"/>
      <c r="O14" s="35"/>
      <c r="P14" s="35"/>
      <c r="Q14" s="39"/>
      <c r="R14" s="35"/>
      <c r="S14" s="35"/>
      <c r="T14" s="40"/>
    </row>
    <row r="15" spans="1:24" x14ac:dyDescent="0.25">
      <c r="A15" s="12">
        <v>45087</v>
      </c>
      <c r="B15" s="13" t="s">
        <v>24</v>
      </c>
      <c r="C15" s="14" t="s">
        <v>13</v>
      </c>
      <c r="D15" s="14" t="s">
        <v>17</v>
      </c>
      <c r="E15" s="14" t="s">
        <v>15</v>
      </c>
      <c r="F15" s="14">
        <v>8</v>
      </c>
      <c r="G15" s="14">
        <v>4</v>
      </c>
      <c r="H15" s="14">
        <v>3</v>
      </c>
      <c r="I15" s="14" t="s">
        <v>29</v>
      </c>
      <c r="L15" s="35"/>
      <c r="M15" s="35"/>
      <c r="N15" s="2" t="s">
        <v>9</v>
      </c>
      <c r="O15" s="2" t="s">
        <v>10</v>
      </c>
      <c r="P15" s="2" t="s">
        <v>22</v>
      </c>
      <c r="Q15" s="2" t="s">
        <v>23</v>
      </c>
      <c r="R15" s="2" t="s">
        <v>11</v>
      </c>
      <c r="S15" s="2" t="s">
        <v>11</v>
      </c>
      <c r="T15" s="2" t="s">
        <v>26</v>
      </c>
    </row>
    <row r="16" spans="1:24" x14ac:dyDescent="0.25">
      <c r="A16" s="12">
        <v>45090</v>
      </c>
      <c r="B16" s="13" t="s">
        <v>24</v>
      </c>
      <c r="C16" s="14" t="s">
        <v>13</v>
      </c>
      <c r="D16" s="14" t="s">
        <v>17</v>
      </c>
      <c r="E16" s="14" t="s">
        <v>15</v>
      </c>
      <c r="F16" s="14">
        <v>8</v>
      </c>
      <c r="G16" s="14">
        <v>4</v>
      </c>
      <c r="H16" s="14">
        <v>3</v>
      </c>
      <c r="I16" s="14" t="s">
        <v>28</v>
      </c>
      <c r="L16" s="3" t="s">
        <v>13</v>
      </c>
      <c r="M16" s="3" t="s">
        <v>20</v>
      </c>
      <c r="N16" s="36">
        <f>SUMIFS(F:F,C:C,L16,D:D,M16)</f>
        <v>31</v>
      </c>
      <c r="O16" s="36">
        <f>SUMIFS(G:G,C:C,L16,D:D,M16)</f>
        <v>13</v>
      </c>
      <c r="P16" s="36">
        <f>SUMIFS(H:H,C:C,L16,D:D,M16)</f>
        <v>16</v>
      </c>
      <c r="Q16" s="37">
        <f t="shared" si="0"/>
        <v>26.666666666666668</v>
      </c>
      <c r="R16" s="36">
        <f t="shared" si="1"/>
        <v>22</v>
      </c>
      <c r="S16" s="36">
        <f t="shared" si="2"/>
        <v>22</v>
      </c>
      <c r="T16" s="41">
        <f>_xlfn.CHISQ.TEST(N16:O16,R16:S16)</f>
        <v>6.6556054829493881E-3</v>
      </c>
    </row>
    <row r="17" spans="1:20" x14ac:dyDescent="0.25">
      <c r="A17" s="12">
        <v>45090</v>
      </c>
      <c r="B17" s="13" t="s">
        <v>12</v>
      </c>
      <c r="C17" s="14" t="s">
        <v>16</v>
      </c>
      <c r="D17" s="14" t="s">
        <v>17</v>
      </c>
      <c r="E17" s="14" t="s">
        <v>15</v>
      </c>
      <c r="F17" s="14">
        <v>3</v>
      </c>
      <c r="G17" s="14">
        <v>5</v>
      </c>
      <c r="H17" s="14">
        <v>7</v>
      </c>
      <c r="I17" s="14" t="s">
        <v>28</v>
      </c>
      <c r="K17" s="1"/>
      <c r="L17" s="35"/>
      <c r="M17" s="35"/>
      <c r="N17" s="35"/>
      <c r="O17" s="35"/>
      <c r="P17" s="35"/>
      <c r="Q17" s="39"/>
      <c r="R17" s="35"/>
      <c r="S17" s="35"/>
      <c r="T17" s="40"/>
    </row>
    <row r="18" spans="1:20" x14ac:dyDescent="0.25">
      <c r="A18" s="15">
        <v>45091</v>
      </c>
      <c r="B18" s="16" t="s">
        <v>12</v>
      </c>
      <c r="C18" s="17" t="s">
        <v>16</v>
      </c>
      <c r="D18" s="17" t="s">
        <v>17</v>
      </c>
      <c r="E18" s="17" t="s">
        <v>15</v>
      </c>
      <c r="F18" s="17">
        <v>8</v>
      </c>
      <c r="G18" s="17">
        <v>2</v>
      </c>
      <c r="H18" s="17">
        <v>5</v>
      </c>
      <c r="I18" s="17" t="s">
        <v>28</v>
      </c>
      <c r="K18" s="1"/>
      <c r="L18" s="35"/>
      <c r="M18" s="35"/>
      <c r="N18" s="2" t="s">
        <v>9</v>
      </c>
      <c r="O18" s="2" t="s">
        <v>10</v>
      </c>
      <c r="P18" s="2" t="s">
        <v>22</v>
      </c>
      <c r="Q18" s="2" t="s">
        <v>23</v>
      </c>
      <c r="R18" s="2" t="s">
        <v>11</v>
      </c>
      <c r="S18" s="2" t="s">
        <v>11</v>
      </c>
      <c r="T18" s="2" t="s">
        <v>26</v>
      </c>
    </row>
    <row r="19" spans="1:20" x14ac:dyDescent="0.25">
      <c r="A19" s="18">
        <v>45091</v>
      </c>
      <c r="B19" s="19" t="s">
        <v>24</v>
      </c>
      <c r="C19" s="20" t="s">
        <v>13</v>
      </c>
      <c r="D19" s="20" t="s">
        <v>18</v>
      </c>
      <c r="E19" s="20" t="s">
        <v>15</v>
      </c>
      <c r="F19" s="20">
        <v>7</v>
      </c>
      <c r="G19" s="20">
        <v>4</v>
      </c>
      <c r="H19" s="20">
        <v>4</v>
      </c>
      <c r="I19" s="20" t="s">
        <v>28</v>
      </c>
      <c r="K19" s="1"/>
      <c r="L19" s="3" t="s">
        <v>13</v>
      </c>
      <c r="M19" s="3" t="s">
        <v>21</v>
      </c>
      <c r="N19" s="36">
        <f>SUMIFS(F:F,C:C,L19,D:D,M19)</f>
        <v>30</v>
      </c>
      <c r="O19" s="36">
        <f>SUMIFS(G:G,C:C,L19,D:D,M19)</f>
        <v>18</v>
      </c>
      <c r="P19" s="36">
        <f>SUMIFS(H:H,C:C,L19,D:D,M19)</f>
        <v>12</v>
      </c>
      <c r="Q19" s="37">
        <f t="shared" si="0"/>
        <v>20</v>
      </c>
      <c r="R19" s="36">
        <f t="shared" si="1"/>
        <v>24</v>
      </c>
      <c r="S19" s="36">
        <f t="shared" si="2"/>
        <v>24</v>
      </c>
      <c r="T19" s="38">
        <f>_xlfn.CHISQ.TEST(N19:O19,R19:S19)</f>
        <v>8.3264516663550447E-2</v>
      </c>
    </row>
    <row r="20" spans="1:20" x14ac:dyDescent="0.25">
      <c r="A20" s="18">
        <v>45092</v>
      </c>
      <c r="B20" s="19" t="s">
        <v>24</v>
      </c>
      <c r="C20" s="20" t="s">
        <v>13</v>
      </c>
      <c r="D20" s="20" t="s">
        <v>18</v>
      </c>
      <c r="E20" s="20" t="s">
        <v>15</v>
      </c>
      <c r="F20" s="20">
        <v>7</v>
      </c>
      <c r="G20" s="20">
        <v>3</v>
      </c>
      <c r="H20" s="20">
        <v>5</v>
      </c>
      <c r="I20" s="20" t="s">
        <v>28</v>
      </c>
      <c r="K20" s="1"/>
    </row>
    <row r="21" spans="1:20" x14ac:dyDescent="0.25">
      <c r="A21" s="18">
        <v>45092</v>
      </c>
      <c r="B21" s="19" t="s">
        <v>24</v>
      </c>
      <c r="C21" s="20" t="s">
        <v>13</v>
      </c>
      <c r="D21" s="20" t="s">
        <v>18</v>
      </c>
      <c r="E21" s="20" t="s">
        <v>15</v>
      </c>
      <c r="F21" s="20">
        <v>7</v>
      </c>
      <c r="G21" s="20">
        <v>5</v>
      </c>
      <c r="H21" s="20">
        <v>3</v>
      </c>
      <c r="I21" s="20" t="s">
        <v>28</v>
      </c>
    </row>
    <row r="22" spans="1:20" x14ac:dyDescent="0.25">
      <c r="A22" s="18">
        <v>45093</v>
      </c>
      <c r="B22" s="19" t="s">
        <v>24</v>
      </c>
      <c r="C22" s="20" t="s">
        <v>13</v>
      </c>
      <c r="D22" s="20" t="s">
        <v>18</v>
      </c>
      <c r="E22" s="20" t="s">
        <v>15</v>
      </c>
      <c r="F22" s="20">
        <v>7</v>
      </c>
      <c r="G22" s="20">
        <v>6</v>
      </c>
      <c r="H22" s="20">
        <v>2</v>
      </c>
      <c r="I22" s="20" t="s">
        <v>28</v>
      </c>
    </row>
    <row r="23" spans="1:20" x14ac:dyDescent="0.25">
      <c r="A23" s="21">
        <v>45093</v>
      </c>
      <c r="B23" s="22" t="s">
        <v>24</v>
      </c>
      <c r="C23" s="23" t="s">
        <v>13</v>
      </c>
      <c r="D23" s="23" t="s">
        <v>18</v>
      </c>
      <c r="E23" s="23" t="s">
        <v>15</v>
      </c>
      <c r="F23" s="23">
        <v>8</v>
      </c>
      <c r="G23" s="23">
        <v>3</v>
      </c>
      <c r="H23" s="23">
        <v>4</v>
      </c>
      <c r="I23" s="23" t="s">
        <v>28</v>
      </c>
    </row>
    <row r="24" spans="1:20" x14ac:dyDescent="0.25">
      <c r="A24" s="24">
        <v>45096</v>
      </c>
      <c r="B24" s="25" t="s">
        <v>24</v>
      </c>
      <c r="C24" s="26" t="s">
        <v>13</v>
      </c>
      <c r="D24" s="26" t="s">
        <v>19</v>
      </c>
      <c r="E24" s="26" t="s">
        <v>15</v>
      </c>
      <c r="F24" s="26">
        <v>8</v>
      </c>
      <c r="G24" s="26">
        <v>5</v>
      </c>
      <c r="H24" s="26">
        <v>2</v>
      </c>
      <c r="I24" s="26" t="s">
        <v>28</v>
      </c>
    </row>
    <row r="25" spans="1:20" x14ac:dyDescent="0.25">
      <c r="A25" s="24">
        <v>45096</v>
      </c>
      <c r="B25" s="25" t="s">
        <v>24</v>
      </c>
      <c r="C25" s="26" t="s">
        <v>13</v>
      </c>
      <c r="D25" s="26" t="s">
        <v>19</v>
      </c>
      <c r="E25" s="26" t="s">
        <v>15</v>
      </c>
      <c r="F25" s="26">
        <v>5</v>
      </c>
      <c r="G25" s="26">
        <v>6</v>
      </c>
      <c r="H25" s="26">
        <v>4</v>
      </c>
      <c r="I25" s="26" t="s">
        <v>28</v>
      </c>
      <c r="L25" s="1"/>
      <c r="M25" s="1"/>
      <c r="N25" t="s">
        <v>25</v>
      </c>
    </row>
    <row r="26" spans="1:20" x14ac:dyDescent="0.25">
      <c r="A26" s="24">
        <v>45097</v>
      </c>
      <c r="B26" s="25" t="s">
        <v>24</v>
      </c>
      <c r="C26" s="26" t="s">
        <v>13</v>
      </c>
      <c r="D26" s="26" t="s">
        <v>19</v>
      </c>
      <c r="E26" s="26" t="s">
        <v>15</v>
      </c>
      <c r="F26" s="26">
        <v>7</v>
      </c>
      <c r="G26" s="26">
        <v>3</v>
      </c>
      <c r="H26" s="26">
        <v>5</v>
      </c>
      <c r="I26" s="26" t="s">
        <v>28</v>
      </c>
      <c r="L26" t="s">
        <v>13</v>
      </c>
      <c r="M26" t="s">
        <v>14</v>
      </c>
      <c r="N26">
        <f t="shared" ref="N26:N33" si="3">COUNTIFS(C:C,L26,D:D,M26)</f>
        <v>5</v>
      </c>
    </row>
    <row r="27" spans="1:20" x14ac:dyDescent="0.25">
      <c r="A27" s="27">
        <v>45097</v>
      </c>
      <c r="B27" s="28" t="s">
        <v>24</v>
      </c>
      <c r="C27" s="29" t="s">
        <v>13</v>
      </c>
      <c r="D27" s="29" t="s">
        <v>19</v>
      </c>
      <c r="E27" s="29" t="s">
        <v>15</v>
      </c>
      <c r="F27" s="29">
        <v>8</v>
      </c>
      <c r="G27" s="29">
        <v>5</v>
      </c>
      <c r="H27" s="29">
        <v>2</v>
      </c>
      <c r="I27" s="29" t="s">
        <v>28</v>
      </c>
      <c r="L27" t="s">
        <v>16</v>
      </c>
      <c r="M27" t="s">
        <v>14</v>
      </c>
      <c r="N27">
        <f t="shared" si="3"/>
        <v>4</v>
      </c>
    </row>
    <row r="28" spans="1:20" x14ac:dyDescent="0.25">
      <c r="A28" s="42">
        <v>45098</v>
      </c>
      <c r="B28" s="34" t="s">
        <v>24</v>
      </c>
      <c r="C28" s="33" t="s">
        <v>13</v>
      </c>
      <c r="D28" s="33" t="s">
        <v>20</v>
      </c>
      <c r="E28" s="33" t="s">
        <v>15</v>
      </c>
      <c r="F28" s="33">
        <v>8</v>
      </c>
      <c r="G28" s="33">
        <v>6</v>
      </c>
      <c r="H28" s="33">
        <v>1</v>
      </c>
      <c r="I28" s="33" t="s">
        <v>28</v>
      </c>
      <c r="L28" t="s">
        <v>13</v>
      </c>
      <c r="M28" t="s">
        <v>17</v>
      </c>
      <c r="N28">
        <f t="shared" si="3"/>
        <v>4</v>
      </c>
    </row>
    <row r="29" spans="1:20" x14ac:dyDescent="0.25">
      <c r="A29" s="42">
        <v>45099</v>
      </c>
      <c r="B29" s="34" t="s">
        <v>24</v>
      </c>
      <c r="C29" s="33" t="s">
        <v>13</v>
      </c>
      <c r="D29" s="33" t="s">
        <v>20</v>
      </c>
      <c r="E29" s="33" t="s">
        <v>15</v>
      </c>
      <c r="F29" s="33">
        <v>9</v>
      </c>
      <c r="G29" s="33">
        <v>2</v>
      </c>
      <c r="H29" s="33">
        <v>4</v>
      </c>
      <c r="I29" s="33" t="s">
        <v>28</v>
      </c>
      <c r="L29" t="s">
        <v>16</v>
      </c>
      <c r="M29" t="s">
        <v>17</v>
      </c>
      <c r="N29">
        <f t="shared" si="3"/>
        <v>4</v>
      </c>
    </row>
    <row r="30" spans="1:20" x14ac:dyDescent="0.25">
      <c r="A30" s="42">
        <v>45099</v>
      </c>
      <c r="B30" s="34" t="s">
        <v>24</v>
      </c>
      <c r="C30" s="33" t="s">
        <v>13</v>
      </c>
      <c r="D30" s="33" t="s">
        <v>20</v>
      </c>
      <c r="E30" s="33" t="s">
        <v>15</v>
      </c>
      <c r="F30" s="33">
        <v>6</v>
      </c>
      <c r="G30" s="33">
        <v>3</v>
      </c>
      <c r="H30" s="33">
        <v>6</v>
      </c>
      <c r="I30" s="33" t="s">
        <v>28</v>
      </c>
      <c r="L30" t="s">
        <v>13</v>
      </c>
      <c r="M30" t="s">
        <v>18</v>
      </c>
      <c r="N30">
        <f t="shared" si="3"/>
        <v>5</v>
      </c>
    </row>
    <row r="31" spans="1:20" x14ac:dyDescent="0.25">
      <c r="A31" s="42">
        <v>45104</v>
      </c>
      <c r="B31" s="34" t="s">
        <v>24</v>
      </c>
      <c r="C31" s="33" t="s">
        <v>13</v>
      </c>
      <c r="D31" s="33" t="s">
        <v>20</v>
      </c>
      <c r="E31" s="33" t="s">
        <v>15</v>
      </c>
      <c r="F31" s="33">
        <v>8</v>
      </c>
      <c r="G31" s="33">
        <v>2</v>
      </c>
      <c r="H31" s="33">
        <v>5</v>
      </c>
      <c r="I31" s="33" t="s">
        <v>28</v>
      </c>
      <c r="L31" t="s">
        <v>13</v>
      </c>
      <c r="M31" t="s">
        <v>19</v>
      </c>
      <c r="N31">
        <f t="shared" si="3"/>
        <v>4</v>
      </c>
    </row>
    <row r="32" spans="1:20" x14ac:dyDescent="0.25">
      <c r="A32" s="30">
        <v>45104</v>
      </c>
      <c r="B32" s="31" t="s">
        <v>24</v>
      </c>
      <c r="C32" s="32" t="s">
        <v>13</v>
      </c>
      <c r="D32" s="32" t="s">
        <v>21</v>
      </c>
      <c r="E32" s="32" t="s">
        <v>15</v>
      </c>
      <c r="F32" s="32">
        <v>7</v>
      </c>
      <c r="G32" s="32">
        <v>5</v>
      </c>
      <c r="H32" s="32">
        <v>3</v>
      </c>
      <c r="I32" s="32" t="s">
        <v>28</v>
      </c>
      <c r="L32" t="s">
        <v>13</v>
      </c>
      <c r="M32" t="s">
        <v>20</v>
      </c>
      <c r="N32">
        <f t="shared" si="3"/>
        <v>4</v>
      </c>
    </row>
    <row r="33" spans="1:14" x14ac:dyDescent="0.25">
      <c r="A33" s="30">
        <v>45105</v>
      </c>
      <c r="B33" s="31" t="s">
        <v>24</v>
      </c>
      <c r="C33" s="32" t="s">
        <v>13</v>
      </c>
      <c r="D33" s="32" t="s">
        <v>21</v>
      </c>
      <c r="E33" s="32" t="s">
        <v>15</v>
      </c>
      <c r="F33" s="32">
        <v>9</v>
      </c>
      <c r="G33" s="32">
        <v>4</v>
      </c>
      <c r="H33" s="32">
        <v>2</v>
      </c>
      <c r="I33" s="32" t="s">
        <v>28</v>
      </c>
      <c r="L33" t="s">
        <v>13</v>
      </c>
      <c r="M33" t="s">
        <v>21</v>
      </c>
      <c r="N33">
        <f t="shared" si="3"/>
        <v>4</v>
      </c>
    </row>
    <row r="34" spans="1:14" x14ac:dyDescent="0.25">
      <c r="A34" s="30">
        <v>45105</v>
      </c>
      <c r="B34" s="31" t="s">
        <v>24</v>
      </c>
      <c r="C34" s="32" t="s">
        <v>13</v>
      </c>
      <c r="D34" s="32" t="s">
        <v>21</v>
      </c>
      <c r="E34" s="32" t="s">
        <v>15</v>
      </c>
      <c r="F34" s="32">
        <v>7</v>
      </c>
      <c r="G34" s="32">
        <v>4</v>
      </c>
      <c r="H34" s="32">
        <v>4</v>
      </c>
      <c r="I34" s="32" t="s">
        <v>28</v>
      </c>
    </row>
    <row r="35" spans="1:14" x14ac:dyDescent="0.25">
      <c r="A35" s="30">
        <v>45106</v>
      </c>
      <c r="B35" s="31" t="s">
        <v>24</v>
      </c>
      <c r="C35" s="32" t="s">
        <v>13</v>
      </c>
      <c r="D35" s="32" t="s">
        <v>21</v>
      </c>
      <c r="E35" s="32" t="s">
        <v>15</v>
      </c>
      <c r="F35" s="32">
        <v>7</v>
      </c>
      <c r="G35" s="32">
        <v>5</v>
      </c>
      <c r="H35" s="32">
        <v>3</v>
      </c>
      <c r="I35" s="32" t="s">
        <v>28</v>
      </c>
    </row>
  </sheetData>
  <autoFilter ref="A1:I34" xr:uid="{00000000-0001-0000-0000-000000000000}"/>
  <pageMargins left="0.7" right="0.7" top="0.75" bottom="0.75" header="0.3" footer="0.3"/>
  <pageSetup orientation="portrait" r:id="rId1"/>
  <extLst>
    <ext xmlns:x15="http://schemas.microsoft.com/office/spreadsheetml/2010/11/main" uri="{F7C9EE02-42E1-4005-9D12-6889AFFD525C}">
      <x15:webExtensions xmlns:xm="http://schemas.microsoft.com/office/excel/2006/main">
        <x15:webExtension appRef="{2FA38CA9-86CE-4815-B172-8A5E726E9429}">
          <xm:f>janthiniformis!1:1048576</xm:f>
        </x15:webExtension>
      </x15:webExtens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BE0FA93299D84FA214D6C998C96660" ma:contentTypeVersion="15" ma:contentTypeDescription="Create a new document." ma:contentTypeScope="" ma:versionID="ec374fb1da89cd4d579678ff769afe8f">
  <xsd:schema xmlns:xsd="http://www.w3.org/2001/XMLSchema" xmlns:xs="http://www.w3.org/2001/XMLSchema" xmlns:p="http://schemas.microsoft.com/office/2006/metadata/properties" xmlns:ns3="04da583e-6402-426c-853c-7a526c4ae086" xmlns:ns4="bab284df-d836-41cc-a0c4-e25860aa96ed" targetNamespace="http://schemas.microsoft.com/office/2006/metadata/properties" ma:root="true" ma:fieldsID="4ac676b3c39eaf434918ece2b80eefa0" ns3:_="" ns4:_="">
    <xsd:import namespace="04da583e-6402-426c-853c-7a526c4ae086"/>
    <xsd:import namespace="bab284df-d836-41cc-a0c4-e25860aa96e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da583e-6402-426c-853c-7a526c4ae0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b284df-d836-41cc-a0c4-e25860aa96ed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4da583e-6402-426c-853c-7a526c4ae086" xsi:nil="true"/>
  </documentManagement>
</p:properties>
</file>

<file path=customXml/itemProps1.xml><?xml version="1.0" encoding="utf-8"?>
<ds:datastoreItem xmlns:ds="http://schemas.openxmlformats.org/officeDocument/2006/customXml" ds:itemID="{182DF27D-97E6-4DA4-BF94-0CD2340690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da583e-6402-426c-853c-7a526c4ae086"/>
    <ds:schemaRef ds:uri="bab284df-d836-41cc-a0c4-e25860aa96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1EDDA6D-FD9B-46BE-8845-49AEC8ED9AA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89CA90D-0F21-4149-89AB-4A55350DAA5F}">
  <ds:schemaRefs>
    <ds:schemaRef ds:uri="04da583e-6402-426c-853c-7a526c4ae086"/>
    <ds:schemaRef ds:uri="http://schemas.microsoft.com/office/infopath/2007/PartnerControls"/>
    <ds:schemaRef ds:uri="http://www.w3.org/XML/1998/namespace"/>
    <ds:schemaRef ds:uri="http://purl.org/dc/dcmitype/"/>
    <ds:schemaRef ds:uri="http://purl.org/dc/terms/"/>
    <ds:schemaRef ds:uri="http://schemas.openxmlformats.org/package/2006/metadata/core-properties"/>
    <ds:schemaRef ds:uri="bab284df-d836-41cc-a0c4-e25860aa96ed"/>
    <ds:schemaRef ds:uri="http://schemas.microsoft.com/office/2006/documentManagement/types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janthiniformis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GCMS</dc:creator>
  <cp:keywords/>
  <dc:description/>
  <cp:lastModifiedBy>Hofland, Megan</cp:lastModifiedBy>
  <cp:revision/>
  <dcterms:created xsi:type="dcterms:W3CDTF">2023-06-01T21:04:58Z</dcterms:created>
  <dcterms:modified xsi:type="dcterms:W3CDTF">2024-03-05T18:48:58Z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0x010100FFBE0FA93299D84FA214D6C998C96660</vt:lpwstr>
  </property>
</Properties>
</file>