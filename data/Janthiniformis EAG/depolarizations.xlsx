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toadflax_hybrids_2026/data/Janthiniformis EAG/"/>
    </mc:Choice>
  </mc:AlternateContent>
  <xr:revisionPtr revIDLastSave="0" documentId="13_ncr:1_{FCC2ACC2-9985-474A-9A37-B30FD403E87A}" xr6:coauthVersionLast="47" xr6:coauthVersionMax="47" xr10:uidLastSave="{00000000-0000-0000-0000-000000000000}"/>
  <bookViews>
    <workbookView xWindow="0" yWindow="600" windowWidth="38400" windowHeight="21000" xr2:uid="{C2DF0F49-E774-604A-A874-C69BEAC46AA2}"/>
  </bookViews>
  <sheets>
    <sheet name="compound response" sheetId="1" r:id="rId1"/>
    <sheet name="Sheet1" sheetId="5" r:id="rId2"/>
    <sheet name="EAD response" sheetId="3" r:id="rId3"/>
    <sheet name="Sheet4" sheetId="4" r:id="rId4"/>
    <sheet name="mean respons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5" l="1"/>
  <c r="D36" i="5"/>
  <c r="E35" i="5"/>
  <c r="D35" i="5"/>
  <c r="E34" i="5"/>
  <c r="D34" i="5"/>
  <c r="E33" i="5"/>
  <c r="D33" i="5"/>
  <c r="E32" i="5"/>
  <c r="D32" i="5"/>
  <c r="E31" i="5"/>
  <c r="D31" i="5"/>
  <c r="C32" i="5"/>
  <c r="C33" i="5"/>
  <c r="C34" i="5"/>
  <c r="C35" i="5"/>
  <c r="C36" i="5"/>
  <c r="C31" i="5"/>
  <c r="B32" i="5"/>
  <c r="B33" i="5"/>
  <c r="B34" i="5"/>
  <c r="B35" i="5"/>
  <c r="B36" i="5"/>
  <c r="B31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C21" i="5"/>
  <c r="C22" i="5"/>
  <c r="C23" i="5"/>
  <c r="C24" i="5"/>
  <c r="C25" i="5"/>
  <c r="C26" i="5"/>
  <c r="C20" i="5"/>
  <c r="B21" i="5"/>
  <c r="B22" i="5"/>
  <c r="B23" i="5"/>
  <c r="B24" i="5"/>
  <c r="B25" i="5"/>
  <c r="B26" i="5"/>
  <c r="B20" i="5"/>
  <c r="C3" i="5"/>
  <c r="C4" i="5"/>
  <c r="C5" i="5"/>
  <c r="C6" i="5"/>
  <c r="C7" i="5"/>
  <c r="C8" i="5"/>
  <c r="C9" i="5"/>
  <c r="C10" i="5"/>
  <c r="C11" i="5"/>
  <c r="C12" i="5"/>
  <c r="C13" i="5"/>
  <c r="C2" i="5"/>
  <c r="M34" i="3"/>
  <c r="L34" i="3"/>
  <c r="K34" i="3"/>
  <c r="J34" i="3"/>
  <c r="I34" i="3"/>
  <c r="G16" i="1"/>
  <c r="G30" i="1"/>
  <c r="G44" i="1"/>
  <c r="G2" i="1"/>
  <c r="G58" i="1"/>
  <c r="G73" i="1"/>
  <c r="G17" i="1"/>
  <c r="G31" i="1"/>
  <c r="G45" i="1"/>
  <c r="G3" i="1"/>
  <c r="G59" i="1"/>
  <c r="G74" i="1"/>
  <c r="G18" i="1"/>
  <c r="G32" i="1"/>
  <c r="G46" i="1"/>
  <c r="G4" i="1"/>
  <c r="G60" i="1"/>
  <c r="G75" i="1"/>
  <c r="G19" i="1"/>
  <c r="G33" i="1"/>
  <c r="G47" i="1"/>
  <c r="G5" i="1"/>
  <c r="G61" i="1"/>
  <c r="G76" i="1"/>
  <c r="G20" i="1"/>
  <c r="G34" i="1"/>
  <c r="G48" i="1"/>
  <c r="G6" i="1"/>
  <c r="G62" i="1"/>
  <c r="G77" i="1"/>
  <c r="G21" i="1"/>
  <c r="G35" i="1"/>
  <c r="G49" i="1"/>
  <c r="G7" i="1"/>
  <c r="G63" i="1"/>
  <c r="G78" i="1"/>
  <c r="G22" i="1"/>
  <c r="G36" i="1"/>
  <c r="G50" i="1"/>
  <c r="G8" i="1"/>
  <c r="G64" i="1"/>
  <c r="G79" i="1"/>
  <c r="G23" i="1"/>
  <c r="G37" i="1"/>
  <c r="G51" i="1"/>
  <c r="G9" i="1"/>
  <c r="G65" i="1"/>
  <c r="G80" i="1"/>
  <c r="G24" i="1"/>
  <c r="G38" i="1"/>
  <c r="G52" i="1"/>
  <c r="G10" i="1"/>
  <c r="G66" i="1"/>
  <c r="G81" i="1"/>
  <c r="G25" i="1"/>
  <c r="G39" i="1"/>
  <c r="G53" i="1"/>
  <c r="G11" i="1"/>
  <c r="G67" i="1"/>
  <c r="G82" i="1"/>
  <c r="G26" i="1"/>
  <c r="G40" i="1"/>
  <c r="G54" i="1"/>
  <c r="G12" i="1"/>
  <c r="G68" i="1"/>
  <c r="G83" i="1"/>
  <c r="G27" i="1"/>
  <c r="G41" i="1"/>
  <c r="G55" i="1"/>
  <c r="G13" i="1"/>
  <c r="G69" i="1"/>
  <c r="G84" i="1"/>
  <c r="G28" i="1"/>
  <c r="G42" i="1"/>
  <c r="G56" i="1"/>
  <c r="G14" i="1"/>
  <c r="G70" i="1"/>
  <c r="G85" i="1"/>
  <c r="G29" i="1"/>
  <c r="G43" i="1"/>
  <c r="G57" i="1"/>
  <c r="G15" i="1"/>
  <c r="G71" i="1"/>
  <c r="G72" i="1"/>
  <c r="E16" i="1"/>
  <c r="E30" i="1"/>
  <c r="E44" i="1"/>
  <c r="E2" i="1"/>
  <c r="E58" i="1"/>
  <c r="E73" i="1"/>
  <c r="E17" i="1"/>
  <c r="E31" i="1"/>
  <c r="E45" i="1"/>
  <c r="E3" i="1"/>
  <c r="E59" i="1"/>
  <c r="E74" i="1"/>
  <c r="E18" i="1"/>
  <c r="E32" i="1"/>
  <c r="E46" i="1"/>
  <c r="E4" i="1"/>
  <c r="E60" i="1"/>
  <c r="E75" i="1"/>
  <c r="E19" i="1"/>
  <c r="E33" i="1"/>
  <c r="E47" i="1"/>
  <c r="E5" i="1"/>
  <c r="E61" i="1"/>
  <c r="E76" i="1"/>
  <c r="E20" i="1"/>
  <c r="E34" i="1"/>
  <c r="E48" i="1"/>
  <c r="E6" i="1"/>
  <c r="E62" i="1"/>
  <c r="E77" i="1"/>
  <c r="E21" i="1"/>
  <c r="E35" i="1"/>
  <c r="E49" i="1"/>
  <c r="E7" i="1"/>
  <c r="E63" i="1"/>
  <c r="E78" i="1"/>
  <c r="E22" i="1"/>
  <c r="E36" i="1"/>
  <c r="E50" i="1"/>
  <c r="E8" i="1"/>
  <c r="E64" i="1"/>
  <c r="E79" i="1"/>
  <c r="E23" i="1"/>
  <c r="E37" i="1"/>
  <c r="E51" i="1"/>
  <c r="E9" i="1"/>
  <c r="E65" i="1"/>
  <c r="E80" i="1"/>
  <c r="E24" i="1"/>
  <c r="E38" i="1"/>
  <c r="E52" i="1"/>
  <c r="E10" i="1"/>
  <c r="E66" i="1"/>
  <c r="E81" i="1"/>
  <c r="E25" i="1"/>
  <c r="E39" i="1"/>
  <c r="E53" i="1"/>
  <c r="E11" i="1"/>
  <c r="E67" i="1"/>
  <c r="E82" i="1"/>
  <c r="E26" i="1"/>
  <c r="E40" i="1"/>
  <c r="E54" i="1"/>
  <c r="E12" i="1"/>
  <c r="E68" i="1"/>
  <c r="E83" i="1"/>
  <c r="E27" i="1"/>
  <c r="E41" i="1"/>
  <c r="E55" i="1"/>
  <c r="E13" i="1"/>
  <c r="E69" i="1"/>
  <c r="E84" i="1"/>
  <c r="E28" i="1"/>
  <c r="E42" i="1"/>
  <c r="E56" i="1"/>
  <c r="E14" i="1"/>
  <c r="E70" i="1"/>
  <c r="E85" i="1"/>
  <c r="E29" i="1"/>
  <c r="E43" i="1"/>
  <c r="E57" i="1"/>
  <c r="E15" i="1"/>
  <c r="E71" i="1"/>
  <c r="E72" i="1"/>
  <c r="A4" i="4"/>
  <c r="B2" i="4" s="1"/>
  <c r="F8" i="3" l="1"/>
  <c r="G11" i="3"/>
  <c r="F10" i="3"/>
  <c r="G9" i="3"/>
  <c r="F23" i="3"/>
  <c r="F14" i="3"/>
  <c r="F18" i="3"/>
  <c r="G14" i="3"/>
  <c r="F21" i="3"/>
  <c r="F22" i="3"/>
  <c r="F20" i="3"/>
  <c r="G23" i="3"/>
  <c r="G3" i="3"/>
  <c r="G19" i="3"/>
  <c r="F9" i="3"/>
  <c r="G21" i="3"/>
  <c r="G22" i="3"/>
  <c r="F11" i="3"/>
  <c r="G15" i="3"/>
  <c r="F6" i="3"/>
  <c r="F7" i="3"/>
  <c r="G6" i="3"/>
  <c r="G20" i="3"/>
  <c r="G8" i="3"/>
  <c r="F19" i="3"/>
  <c r="G10" i="3"/>
  <c r="G7" i="3"/>
  <c r="F15" i="3"/>
  <c r="F3" i="3"/>
  <c r="G18" i="3"/>
  <c r="F2" i="3"/>
  <c r="G2" i="3"/>
  <c r="G34" i="3"/>
  <c r="F34" i="3"/>
  <c r="B4" i="4"/>
  <c r="B1" i="4"/>
  <c r="B3" i="4"/>
  <c r="B5" i="4"/>
  <c r="G12" i="3"/>
  <c r="G13" i="3"/>
  <c r="G16" i="3"/>
  <c r="F24" i="3"/>
  <c r="F25" i="3"/>
  <c r="G17" i="3"/>
  <c r="F4" i="3"/>
  <c r="F5" i="3"/>
  <c r="F16" i="3"/>
  <c r="F13" i="3"/>
  <c r="F17" i="3"/>
  <c r="G25" i="3"/>
  <c r="G24" i="3"/>
  <c r="G5" i="3"/>
  <c r="G4" i="3"/>
  <c r="F12" i="3"/>
  <c r="D3" i="4" l="1"/>
  <c r="E3" i="4"/>
</calcChain>
</file>

<file path=xl/sharedStrings.xml><?xml version="1.0" encoding="utf-8"?>
<sst xmlns="http://schemas.openxmlformats.org/spreadsheetml/2006/main" count="520" uniqueCount="41">
  <si>
    <t>species</t>
  </si>
  <si>
    <t>plant</t>
  </si>
  <si>
    <t>compound</t>
  </si>
  <si>
    <t>janthiniformis</t>
  </si>
  <si>
    <t>vulgaris</t>
  </si>
  <si>
    <t>sixmethyl</t>
  </si>
  <si>
    <t>z3hex</t>
  </si>
  <si>
    <t>limonene</t>
  </si>
  <si>
    <t>tocimene</t>
  </si>
  <si>
    <t>cocimene</t>
  </si>
  <si>
    <t>linalool</t>
  </si>
  <si>
    <t>caryophyllene</t>
  </si>
  <si>
    <t>mean</t>
  </si>
  <si>
    <t>se</t>
  </si>
  <si>
    <t>mv</t>
  </si>
  <si>
    <t>dalmatica</t>
  </si>
  <si>
    <t>janthinus</t>
  </si>
  <si>
    <t>concentration</t>
  </si>
  <si>
    <t>1x</t>
  </si>
  <si>
    <t>2x</t>
  </si>
  <si>
    <t>sample_size</t>
  </si>
  <si>
    <t>set mean</t>
  </si>
  <si>
    <t>set se</t>
  </si>
  <si>
    <t>test</t>
  </si>
  <si>
    <t>samples</t>
  </si>
  <si>
    <t>yt</t>
  </si>
  <si>
    <t>dt</t>
  </si>
  <si>
    <t>hbr</t>
  </si>
  <si>
    <t>rad</t>
  </si>
  <si>
    <t>d6y6</t>
  </si>
  <si>
    <t>y6d6</t>
  </si>
  <si>
    <t>sample_mean</t>
  </si>
  <si>
    <t>sample_se</t>
  </si>
  <si>
    <t>run1</t>
  </si>
  <si>
    <t>run2</t>
  </si>
  <si>
    <t>run3</t>
  </si>
  <si>
    <t>run4</t>
  </si>
  <si>
    <t>run5</t>
  </si>
  <si>
    <t>set_mean</t>
  </si>
  <si>
    <t>set_se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</si>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</sst>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4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2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4" tint="-0.499984740745262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4" tint="-0.499984740745262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D65AF-7D3D-064D-8A34-6087CB07AEA0}" name="Table1" displayName="Table1" ref="A1:M85" totalsRowShown="0" headerRowDxfId="28" dataDxfId="27" tableBorderDxfId="26">
  <autoFilter ref="A1:M85" xr:uid="{A0CD65AF-7D3D-064D-8A34-6087CB07AEA0}"/>
  <sortState xmlns:xlrd2="http://schemas.microsoft.com/office/spreadsheetml/2017/richdata2" ref="A2:M85">
    <sortCondition ref="B1:B85"/>
  </sortState>
  <tableColumns count="13">
    <tableColumn id="1" xr3:uid="{4E4FD605-3AF7-E548-A827-FD5C531A0C97}" name="species" dataDxfId="25"/>
    <tableColumn id="2" xr3:uid="{EF0BF626-E74D-754B-A3D4-2A56DA9EE21D}" name="plant" dataDxfId="24"/>
    <tableColumn id="3" xr3:uid="{30852C5D-1064-9442-AA3E-29DDC246F223}" name="compound" dataDxfId="23"/>
    <tableColumn id="4" xr3:uid="{2C7ECF1E-64EA-8C46-82FD-59944A64005D}" name="set mean" dataDxfId="22"/>
    <tableColumn id="5" xr3:uid="{1593F098-0F8C-5B4F-A493-DF3BB2DB987A}" name="sample_mean" dataDxfId="21" dataCellStyle="Comma">
      <calculatedColumnFormula>AVERAGE(I2:M2)</calculatedColumnFormula>
    </tableColumn>
    <tableColumn id="6" xr3:uid="{F0045161-0D38-104C-829D-37A0102F6045}" name="set se" dataDxfId="20"/>
    <tableColumn id="7" xr3:uid="{40F514DF-C779-7549-8E33-D0A641D722AB}" name="sample_se" dataDxfId="19" dataCellStyle="Comma">
      <calculatedColumnFormula>ROUND(STDEV(I2:M2)/SQRT(COUNT(I2:M2)),2)</calculatedColumnFormula>
    </tableColumn>
    <tableColumn id="8" xr3:uid="{E245790D-F2ED-9A44-A34D-94A7A69E3C2A}" name="sample_size" dataDxfId="18"/>
    <tableColumn id="9" xr3:uid="{5E756760-39EC-7248-A5F2-ED33E3CD973C}" name="run1" dataDxfId="17"/>
    <tableColumn id="10" xr3:uid="{BB4945DD-3EC8-4648-94E9-A2BCF3CF76CC}" name="run2" dataDxfId="16"/>
    <tableColumn id="11" xr3:uid="{C22D4EA0-324E-C14B-990D-79357DB7CAD2}" name="run3" dataDxfId="15"/>
    <tableColumn id="12" xr3:uid="{A88A9D6F-59BE-FA4A-B6A6-6446733B85A2}" name="run4" dataDxfId="14"/>
    <tableColumn id="13" xr3:uid="{4EB0F2FA-A06D-5F49-A304-B80992AB88F5}" name="run5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6168E5-AD3C-2843-9319-EA2D3CA897BD}" name="Table2" displayName="Table2" ref="A1:M25" totalsRowShown="0" headerRowDxfId="12" dataDxfId="11">
  <autoFilter ref="A1:M25" xr:uid="{616168E5-AD3C-2843-9319-EA2D3CA897BD}"/>
  <sortState xmlns:xlrd2="http://schemas.microsoft.com/office/spreadsheetml/2017/richdata2" ref="A2:M25">
    <sortCondition ref="C2:C25"/>
    <sortCondition ref="B2:B25"/>
  </sortState>
  <tableColumns count="13">
    <tableColumn id="1" xr3:uid="{D74475DC-F7FE-8D44-BB66-7B5DEC1B318E}" name="species"/>
    <tableColumn id="2" xr3:uid="{D0C7DF7B-EECD-5B40-94B2-D049DA2BBA38}" name="plant"/>
    <tableColumn id="3" xr3:uid="{DC34CDAC-D01C-4444-8DAD-71AEEF7CFAFF}" name="concentration" dataDxfId="10"/>
    <tableColumn id="4" xr3:uid="{48E22DDC-5768-314D-90DC-320AEE05C1CE}" name="set_mean" dataDxfId="9"/>
    <tableColumn id="5" xr3:uid="{E0406FD7-9523-334A-AE5F-FEFEBF354024}" name="set_se" dataDxfId="8"/>
    <tableColumn id="12" xr3:uid="{C3ACFCB1-F778-5746-9646-F37F57B75A59}" name="sample_mean" dataDxfId="7">
      <calculatedColumnFormula>ROUND(AVERAGE(I2:M2),2)</calculatedColumnFormula>
    </tableColumn>
    <tableColumn id="13" xr3:uid="{651D0B29-724D-344D-9C51-7A06B2CE1DE4}" name="sample_se" dataDxfId="6">
      <calculatedColumnFormula>ROUND(STDEV(I2:M2)/SQRT(COUNT(I2:M2)),2)</calculatedColumnFormula>
    </tableColumn>
    <tableColumn id="6" xr3:uid="{27CC2536-0EE9-C64C-BD0C-BA45F5E22C9E}" name="samples" dataDxfId="5"/>
    <tableColumn id="7" xr3:uid="{5FEEA567-0C28-8342-8564-9EE3920F4331}" name="run1" dataDxfId="4"/>
    <tableColumn id="8" xr3:uid="{8C64201F-957E-D249-AE69-D327F8579CB8}" name="run2" dataDxfId="3"/>
    <tableColumn id="9" xr3:uid="{5AD02284-4DE6-C54B-A53A-2072BD109DDC}" name="run3" dataDxfId="2"/>
    <tableColumn id="10" xr3:uid="{B6FEA108-43D6-F644-B865-3CD270A38F85}" name="run4" dataDxfId="1"/>
    <tableColumn id="11" xr3:uid="{5AC7BE79-7EFA-AB45-B430-31E5FE8347F1}" name="run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64F3-049B-2041-BD88-8FA06DC9C7F1}">
  <dimension ref="A1:O92"/>
  <sheetViews>
    <sheetView tabSelected="1" zoomScale="120" zoomScaleNormal="120" workbookViewId="0">
      <pane ySplit="1" topLeftCell="A63" activePane="bottomLeft" state="frozen"/>
      <selection pane="bottomLeft" activeCell="B88" sqref="B88"/>
    </sheetView>
  </sheetViews>
  <sheetFormatPr baseColWidth="10" defaultRowHeight="16" x14ac:dyDescent="0.2"/>
  <cols>
    <col min="1" max="1" width="12.5" bestFit="1" customWidth="1"/>
    <col min="3" max="3" width="12.6640625" bestFit="1" customWidth="1"/>
    <col min="4" max="4" width="11" style="2" customWidth="1"/>
    <col min="5" max="5" width="14" style="2" customWidth="1"/>
    <col min="6" max="6" width="11" style="2" customWidth="1"/>
    <col min="7" max="7" width="11.33203125" style="3" customWidth="1"/>
    <col min="8" max="8" width="12.83203125" style="2" hidden="1" customWidth="1"/>
    <col min="9" max="9" width="10.83203125" style="4"/>
    <col min="10" max="12" width="10.83203125" style="2"/>
    <col min="13" max="13" width="10.83203125" style="5"/>
    <col min="14" max="14" width="10.83203125" style="2" customWidth="1"/>
    <col min="15" max="15" width="10.83203125" style="1"/>
  </cols>
  <sheetData>
    <row r="1" spans="1:15" s="7" customFormat="1" x14ac:dyDescent="0.2">
      <c r="A1" s="7" t="s">
        <v>0</v>
      </c>
      <c r="B1" s="7" t="s">
        <v>1</v>
      </c>
      <c r="C1" s="7" t="s">
        <v>2</v>
      </c>
      <c r="D1" s="8" t="s">
        <v>21</v>
      </c>
      <c r="E1" s="8" t="s">
        <v>31</v>
      </c>
      <c r="F1" s="8" t="s">
        <v>22</v>
      </c>
      <c r="G1" s="9" t="s">
        <v>32</v>
      </c>
      <c r="H1" s="8" t="s">
        <v>20</v>
      </c>
      <c r="I1" s="10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/>
      <c r="O1" s="11"/>
    </row>
    <row r="2" spans="1:15" x14ac:dyDescent="0.2">
      <c r="A2" s="6" t="s">
        <v>16</v>
      </c>
      <c r="B2" s="6" t="s">
        <v>29</v>
      </c>
      <c r="C2" s="6" t="s">
        <v>11</v>
      </c>
      <c r="D2" s="2">
        <v>0.86</v>
      </c>
      <c r="E2" s="3">
        <f t="shared" ref="E2:E33" si="0">AVERAGE(I2:M2)</f>
        <v>1.1519999999999997</v>
      </c>
      <c r="F2" s="2">
        <v>0.25</v>
      </c>
      <c r="G2" s="3">
        <f t="shared" ref="G2:G33" si="1">ROUND(STDEV(I2:M2)/SQRT(COUNT(I2:M2)),2)</f>
        <v>0.26</v>
      </c>
      <c r="H2" s="2">
        <v>5</v>
      </c>
      <c r="I2" s="4">
        <v>1.22</v>
      </c>
      <c r="J2" s="2">
        <v>1.92</v>
      </c>
      <c r="K2" s="2">
        <v>0.51</v>
      </c>
      <c r="L2" s="2">
        <v>0.68</v>
      </c>
      <c r="M2" s="2">
        <v>1.43</v>
      </c>
    </row>
    <row r="3" spans="1:15" x14ac:dyDescent="0.2">
      <c r="A3" s="6" t="s">
        <v>3</v>
      </c>
      <c r="B3" s="6" t="s">
        <v>29</v>
      </c>
      <c r="C3" s="6" t="s">
        <v>11</v>
      </c>
      <c r="D3" s="2">
        <v>0.31</v>
      </c>
      <c r="E3" s="3">
        <f t="shared" si="0"/>
        <v>0.13999999999999999</v>
      </c>
      <c r="F3" s="2">
        <v>0.11</v>
      </c>
      <c r="G3" s="3">
        <f t="shared" si="1"/>
        <v>7.0000000000000007E-2</v>
      </c>
      <c r="H3" s="2">
        <v>5</v>
      </c>
      <c r="I3" s="4">
        <v>0.03</v>
      </c>
      <c r="J3" s="2">
        <v>0.18</v>
      </c>
      <c r="K3" s="2">
        <v>0.1</v>
      </c>
      <c r="L3" s="2">
        <v>0.38</v>
      </c>
      <c r="M3" s="2">
        <v>0.01</v>
      </c>
    </row>
    <row r="4" spans="1:15" x14ac:dyDescent="0.2">
      <c r="A4" s="6" t="s">
        <v>16</v>
      </c>
      <c r="B4" s="6" t="s">
        <v>29</v>
      </c>
      <c r="C4" s="6" t="s">
        <v>9</v>
      </c>
      <c r="D4" s="2">
        <v>3.2</v>
      </c>
      <c r="E4" s="3">
        <f t="shared" si="0"/>
        <v>3.3359999999999999</v>
      </c>
      <c r="F4" s="2">
        <v>0.56000000000000005</v>
      </c>
      <c r="G4" s="3">
        <f t="shared" si="1"/>
        <v>0.38</v>
      </c>
      <c r="H4" s="2">
        <v>5</v>
      </c>
      <c r="I4" s="4">
        <v>2.15</v>
      </c>
      <c r="J4" s="2">
        <v>2.86</v>
      </c>
      <c r="K4" s="2">
        <v>3.9</v>
      </c>
      <c r="L4" s="2">
        <v>4.2699999999999996</v>
      </c>
      <c r="M4" s="2">
        <v>3.5</v>
      </c>
    </row>
    <row r="5" spans="1:15" x14ac:dyDescent="0.2">
      <c r="A5" s="6" t="s">
        <v>3</v>
      </c>
      <c r="B5" s="6" t="s">
        <v>29</v>
      </c>
      <c r="C5" s="6" t="s">
        <v>9</v>
      </c>
      <c r="D5" s="2">
        <v>5.94</v>
      </c>
      <c r="E5" s="3">
        <f t="shared" si="0"/>
        <v>7.5</v>
      </c>
      <c r="F5" s="2">
        <v>0.73</v>
      </c>
      <c r="G5" s="3">
        <f t="shared" si="1"/>
        <v>1.2</v>
      </c>
      <c r="H5" s="2">
        <v>5</v>
      </c>
      <c r="I5" s="4">
        <v>7.93</v>
      </c>
      <c r="J5" s="2">
        <v>2.9</v>
      </c>
      <c r="K5" s="2">
        <v>9.15</v>
      </c>
      <c r="L5" s="2">
        <v>9.6199999999999992</v>
      </c>
      <c r="M5" s="2">
        <v>7.9</v>
      </c>
    </row>
    <row r="6" spans="1:15" x14ac:dyDescent="0.2">
      <c r="A6" s="6" t="s">
        <v>16</v>
      </c>
      <c r="B6" s="6" t="s">
        <v>29</v>
      </c>
      <c r="C6" s="6" t="s">
        <v>7</v>
      </c>
      <c r="D6" s="2">
        <v>1.22</v>
      </c>
      <c r="E6" s="3">
        <f t="shared" si="0"/>
        <v>1.1739999999999999</v>
      </c>
      <c r="F6" s="2">
        <v>0.19</v>
      </c>
      <c r="G6" s="3">
        <f t="shared" si="1"/>
        <v>0.1</v>
      </c>
      <c r="H6" s="2">
        <v>5</v>
      </c>
      <c r="I6" s="4">
        <v>1.18</v>
      </c>
      <c r="J6" s="2">
        <v>1.1299999999999999</v>
      </c>
      <c r="K6" s="2">
        <v>1.1000000000000001</v>
      </c>
      <c r="L6" s="2">
        <v>1.55</v>
      </c>
      <c r="M6" s="2">
        <v>0.91</v>
      </c>
    </row>
    <row r="7" spans="1:15" x14ac:dyDescent="0.2">
      <c r="A7" s="6" t="s">
        <v>3</v>
      </c>
      <c r="B7" s="6" t="s">
        <v>29</v>
      </c>
      <c r="C7" s="6" t="s">
        <v>7</v>
      </c>
      <c r="D7" s="2">
        <v>1.31</v>
      </c>
      <c r="E7" s="3">
        <f t="shared" si="0"/>
        <v>1.5959999999999999</v>
      </c>
      <c r="F7" s="2">
        <v>0.34</v>
      </c>
      <c r="G7" s="3">
        <f t="shared" si="1"/>
        <v>0.34</v>
      </c>
      <c r="H7" s="2">
        <v>5</v>
      </c>
      <c r="I7" s="4">
        <v>1.08</v>
      </c>
      <c r="J7" s="2">
        <v>1.26</v>
      </c>
      <c r="K7" s="2">
        <v>2.85</v>
      </c>
      <c r="L7" s="2">
        <v>1.78</v>
      </c>
      <c r="M7" s="2">
        <v>1.01</v>
      </c>
    </row>
    <row r="8" spans="1:15" x14ac:dyDescent="0.2">
      <c r="A8" s="6" t="s">
        <v>16</v>
      </c>
      <c r="B8" s="6" t="s">
        <v>29</v>
      </c>
      <c r="C8" s="6" t="s">
        <v>10</v>
      </c>
      <c r="D8" s="2">
        <v>2.11</v>
      </c>
      <c r="E8" s="3">
        <f t="shared" si="0"/>
        <v>2.1259999999999999</v>
      </c>
      <c r="F8" s="2">
        <v>0.17</v>
      </c>
      <c r="G8" s="3">
        <f t="shared" si="1"/>
        <v>0.11</v>
      </c>
      <c r="H8" s="2">
        <v>5</v>
      </c>
      <c r="I8" s="4">
        <v>2.1</v>
      </c>
      <c r="J8" s="2">
        <v>2.25</v>
      </c>
      <c r="K8" s="2">
        <v>2.08</v>
      </c>
      <c r="L8" s="2">
        <v>1.77</v>
      </c>
      <c r="M8" s="2">
        <v>2.4300000000000002</v>
      </c>
    </row>
    <row r="9" spans="1:15" x14ac:dyDescent="0.2">
      <c r="A9" s="6" t="s">
        <v>3</v>
      </c>
      <c r="B9" s="6" t="s">
        <v>29</v>
      </c>
      <c r="C9" s="6" t="s">
        <v>10</v>
      </c>
      <c r="D9" s="2">
        <v>1.19</v>
      </c>
      <c r="E9" s="3">
        <f t="shared" si="0"/>
        <v>1.1099999999999999</v>
      </c>
      <c r="F9" s="2">
        <v>0.14000000000000001</v>
      </c>
      <c r="G9" s="3">
        <f t="shared" si="1"/>
        <v>0.17</v>
      </c>
      <c r="H9" s="2">
        <v>5</v>
      </c>
      <c r="I9" s="4">
        <v>1.21</v>
      </c>
      <c r="J9" s="2">
        <v>0.63</v>
      </c>
      <c r="K9" s="2">
        <v>0.9</v>
      </c>
      <c r="L9" s="2">
        <v>1.1499999999999999</v>
      </c>
      <c r="M9" s="2">
        <v>1.66</v>
      </c>
    </row>
    <row r="10" spans="1:15" x14ac:dyDescent="0.2">
      <c r="A10" s="6" t="s">
        <v>16</v>
      </c>
      <c r="B10" s="6" t="s">
        <v>29</v>
      </c>
      <c r="C10" s="6" t="s">
        <v>5</v>
      </c>
      <c r="D10" s="2">
        <v>3.14</v>
      </c>
      <c r="E10" s="3">
        <f t="shared" si="0"/>
        <v>3.048</v>
      </c>
      <c r="F10" s="2">
        <v>0.31</v>
      </c>
      <c r="G10" s="3">
        <f t="shared" si="1"/>
        <v>0.42</v>
      </c>
      <c r="H10" s="2">
        <v>5</v>
      </c>
      <c r="I10" s="4">
        <v>3.87</v>
      </c>
      <c r="J10" s="2">
        <v>3.77</v>
      </c>
      <c r="K10" s="2">
        <v>1.64</v>
      </c>
      <c r="L10" s="2">
        <v>2.5299999999999998</v>
      </c>
      <c r="M10" s="2">
        <v>3.43</v>
      </c>
    </row>
    <row r="11" spans="1:15" x14ac:dyDescent="0.2">
      <c r="A11" s="6" t="s">
        <v>3</v>
      </c>
      <c r="B11" s="6" t="s">
        <v>29</v>
      </c>
      <c r="C11" s="6" t="s">
        <v>5</v>
      </c>
      <c r="D11" s="2">
        <v>1.41</v>
      </c>
      <c r="E11" s="3">
        <f t="shared" si="0"/>
        <v>1.516</v>
      </c>
      <c r="F11" s="2">
        <v>0.13</v>
      </c>
      <c r="G11" s="3">
        <f t="shared" si="1"/>
        <v>0.12</v>
      </c>
      <c r="H11" s="2">
        <v>5</v>
      </c>
      <c r="I11" s="4">
        <v>1.58</v>
      </c>
      <c r="J11" s="2">
        <v>1.95</v>
      </c>
      <c r="K11" s="2">
        <v>1.25</v>
      </c>
      <c r="L11" s="2">
        <v>1.41</v>
      </c>
      <c r="M11" s="2">
        <v>1.39</v>
      </c>
    </row>
    <row r="12" spans="1:15" x14ac:dyDescent="0.2">
      <c r="A12" s="6" t="s">
        <v>16</v>
      </c>
      <c r="B12" s="6" t="s">
        <v>29</v>
      </c>
      <c r="C12" s="6" t="s">
        <v>8</v>
      </c>
      <c r="D12" s="2">
        <v>0.31</v>
      </c>
      <c r="E12" s="3">
        <f t="shared" si="0"/>
        <v>0.30199999999999999</v>
      </c>
      <c r="F12" s="2">
        <v>0.01</v>
      </c>
      <c r="G12" s="3">
        <f t="shared" si="1"/>
        <v>0.01</v>
      </c>
      <c r="H12" s="2">
        <v>5</v>
      </c>
      <c r="I12" s="4">
        <v>0.3</v>
      </c>
      <c r="J12" s="2">
        <v>0.31</v>
      </c>
      <c r="K12" s="2">
        <v>0.28000000000000003</v>
      </c>
      <c r="L12" s="2">
        <v>0.33</v>
      </c>
      <c r="M12" s="2">
        <v>0.28999999999999998</v>
      </c>
    </row>
    <row r="13" spans="1:15" x14ac:dyDescent="0.2">
      <c r="A13" s="6" t="s">
        <v>3</v>
      </c>
      <c r="B13" s="6" t="s">
        <v>29</v>
      </c>
      <c r="C13" s="6" t="s">
        <v>8</v>
      </c>
      <c r="D13" s="2">
        <v>0.55000000000000004</v>
      </c>
      <c r="E13" s="3">
        <f t="shared" si="0"/>
        <v>0.53400000000000003</v>
      </c>
      <c r="F13" s="2">
        <v>0.04</v>
      </c>
      <c r="G13" s="3">
        <f t="shared" si="1"/>
        <v>0.03</v>
      </c>
      <c r="H13" s="2">
        <v>5</v>
      </c>
      <c r="I13" s="4">
        <v>0.55000000000000004</v>
      </c>
      <c r="J13" s="2">
        <v>0.47</v>
      </c>
      <c r="K13" s="2">
        <v>0.55000000000000004</v>
      </c>
      <c r="L13" s="2">
        <v>0.48</v>
      </c>
      <c r="M13" s="2">
        <v>0.62</v>
      </c>
    </row>
    <row r="14" spans="1:15" x14ac:dyDescent="0.2">
      <c r="A14" s="6" t="s">
        <v>16</v>
      </c>
      <c r="B14" s="6" t="s">
        <v>29</v>
      </c>
      <c r="C14" s="6" t="s">
        <v>6</v>
      </c>
      <c r="D14" s="2">
        <v>2.12</v>
      </c>
      <c r="E14" s="3">
        <f t="shared" si="0"/>
        <v>2.2120000000000002</v>
      </c>
      <c r="F14" s="2">
        <v>7.0000000000000007E-2</v>
      </c>
      <c r="G14" s="3">
        <f t="shared" si="1"/>
        <v>0.04</v>
      </c>
      <c r="H14" s="2">
        <v>5</v>
      </c>
      <c r="I14" s="4">
        <v>2.2599999999999998</v>
      </c>
      <c r="J14" s="2">
        <v>2.31</v>
      </c>
      <c r="K14" s="2">
        <v>2.13</v>
      </c>
      <c r="L14" s="2">
        <v>2.11</v>
      </c>
      <c r="M14" s="2">
        <v>2.25</v>
      </c>
    </row>
    <row r="15" spans="1:15" x14ac:dyDescent="0.2">
      <c r="A15" s="6" t="s">
        <v>3</v>
      </c>
      <c r="B15" s="6" t="s">
        <v>29</v>
      </c>
      <c r="C15" s="6" t="s">
        <v>6</v>
      </c>
      <c r="D15" s="2">
        <v>2.19</v>
      </c>
      <c r="E15" s="3">
        <f t="shared" si="0"/>
        <v>2.218</v>
      </c>
      <c r="F15" s="2">
        <v>0.08</v>
      </c>
      <c r="G15" s="3">
        <f t="shared" si="1"/>
        <v>0.05</v>
      </c>
      <c r="H15" s="2">
        <v>5</v>
      </c>
      <c r="I15" s="4">
        <v>2.29</v>
      </c>
      <c r="J15" s="2">
        <v>2.23</v>
      </c>
      <c r="K15" s="2">
        <v>2.34</v>
      </c>
      <c r="L15" s="2">
        <v>2.15</v>
      </c>
      <c r="M15" s="2">
        <v>2.08</v>
      </c>
    </row>
    <row r="16" spans="1:15" x14ac:dyDescent="0.2">
      <c r="A16" t="s">
        <v>16</v>
      </c>
      <c r="B16" t="s">
        <v>26</v>
      </c>
      <c r="C16" t="s">
        <v>11</v>
      </c>
      <c r="D16" s="2">
        <v>0.82</v>
      </c>
      <c r="E16" s="3">
        <f t="shared" si="0"/>
        <v>1.0940000000000001</v>
      </c>
      <c r="F16" s="2">
        <v>0.19</v>
      </c>
      <c r="G16" s="3">
        <f t="shared" si="1"/>
        <v>0.15</v>
      </c>
      <c r="H16" s="2">
        <v>5</v>
      </c>
      <c r="I16" s="4">
        <v>0.73</v>
      </c>
      <c r="J16" s="2">
        <v>1.1000000000000001</v>
      </c>
      <c r="K16" s="2">
        <v>1.22</v>
      </c>
      <c r="L16" s="2">
        <v>1.6</v>
      </c>
      <c r="M16" s="2">
        <v>0.82</v>
      </c>
    </row>
    <row r="17" spans="1:13" x14ac:dyDescent="0.2">
      <c r="A17" t="s">
        <v>3</v>
      </c>
      <c r="B17" t="s">
        <v>26</v>
      </c>
      <c r="C17" t="s">
        <v>11</v>
      </c>
      <c r="D17" s="2">
        <v>0.32</v>
      </c>
      <c r="E17" s="3">
        <f t="shared" si="0"/>
        <v>0.312</v>
      </c>
      <c r="F17" s="2">
        <v>0.1</v>
      </c>
      <c r="G17" s="3">
        <f t="shared" si="1"/>
        <v>0.06</v>
      </c>
      <c r="H17" s="2">
        <v>5</v>
      </c>
      <c r="I17" s="4">
        <v>0.18</v>
      </c>
      <c r="J17" s="2">
        <v>0.28000000000000003</v>
      </c>
      <c r="K17" s="2">
        <v>0.36</v>
      </c>
      <c r="L17" s="2">
        <v>0.21</v>
      </c>
      <c r="M17" s="2">
        <v>0.53</v>
      </c>
    </row>
    <row r="18" spans="1:13" x14ac:dyDescent="0.2">
      <c r="A18" t="s">
        <v>16</v>
      </c>
      <c r="B18" t="s">
        <v>26</v>
      </c>
      <c r="C18" t="s">
        <v>9</v>
      </c>
      <c r="D18" s="2">
        <v>5.98</v>
      </c>
      <c r="E18" s="3">
        <f t="shared" si="0"/>
        <v>3.7640000000000002</v>
      </c>
      <c r="F18" s="2">
        <v>1.42</v>
      </c>
      <c r="G18" s="3">
        <f t="shared" si="1"/>
        <v>0.9</v>
      </c>
      <c r="H18" s="2">
        <v>5</v>
      </c>
      <c r="I18" s="4">
        <v>5.36</v>
      </c>
      <c r="J18" s="2">
        <v>1.6</v>
      </c>
      <c r="K18" s="2">
        <v>5.93</v>
      </c>
      <c r="L18" s="2">
        <v>1.74</v>
      </c>
      <c r="M18" s="2">
        <v>4.1900000000000004</v>
      </c>
    </row>
    <row r="19" spans="1:13" x14ac:dyDescent="0.2">
      <c r="A19" t="s">
        <v>3</v>
      </c>
      <c r="B19" t="s">
        <v>26</v>
      </c>
      <c r="C19" t="s">
        <v>9</v>
      </c>
      <c r="D19" s="2">
        <v>6.46</v>
      </c>
      <c r="E19" s="3">
        <f t="shared" si="0"/>
        <v>7.242</v>
      </c>
      <c r="F19" s="2">
        <v>1.77</v>
      </c>
      <c r="G19" s="3">
        <f t="shared" si="1"/>
        <v>1.05</v>
      </c>
      <c r="H19" s="2">
        <v>5</v>
      </c>
      <c r="I19" s="4">
        <v>6.75</v>
      </c>
      <c r="J19" s="2">
        <v>3.63</v>
      </c>
      <c r="K19" s="2">
        <v>8.98</v>
      </c>
      <c r="L19" s="2">
        <v>7.17</v>
      </c>
      <c r="M19" s="2">
        <v>9.68</v>
      </c>
    </row>
    <row r="20" spans="1:13" x14ac:dyDescent="0.2">
      <c r="A20" t="s">
        <v>16</v>
      </c>
      <c r="B20" t="s">
        <v>26</v>
      </c>
      <c r="C20" t="s">
        <v>7</v>
      </c>
      <c r="D20" s="2">
        <v>1.01</v>
      </c>
      <c r="E20" s="3">
        <f t="shared" si="0"/>
        <v>1.024</v>
      </c>
      <c r="F20" s="2">
        <v>0.11</v>
      </c>
      <c r="G20" s="3">
        <f t="shared" si="1"/>
        <v>0.06</v>
      </c>
      <c r="H20" s="2">
        <v>5</v>
      </c>
      <c r="I20" s="4">
        <v>0.82</v>
      </c>
      <c r="J20" s="2">
        <v>1.03</v>
      </c>
      <c r="K20" s="2">
        <v>1.22</v>
      </c>
      <c r="L20" s="2">
        <v>1</v>
      </c>
      <c r="M20" s="2">
        <v>1.05</v>
      </c>
    </row>
    <row r="21" spans="1:13" x14ac:dyDescent="0.2">
      <c r="A21" t="s">
        <v>3</v>
      </c>
      <c r="B21" t="s">
        <v>26</v>
      </c>
      <c r="C21" t="s">
        <v>7</v>
      </c>
      <c r="D21" s="2">
        <v>1.21</v>
      </c>
      <c r="E21" s="3">
        <f t="shared" si="0"/>
        <v>0.99599999999999989</v>
      </c>
      <c r="F21" s="2">
        <v>0.31</v>
      </c>
      <c r="G21" s="3">
        <f t="shared" si="1"/>
        <v>0.32</v>
      </c>
      <c r="H21" s="2">
        <v>5</v>
      </c>
      <c r="I21" s="4">
        <v>1.18</v>
      </c>
      <c r="J21" s="2">
        <v>1.63</v>
      </c>
      <c r="K21" s="2">
        <v>0.32</v>
      </c>
      <c r="L21" s="2">
        <v>0.15</v>
      </c>
      <c r="M21" s="2">
        <v>1.7</v>
      </c>
    </row>
    <row r="22" spans="1:13" x14ac:dyDescent="0.2">
      <c r="A22" t="s">
        <v>16</v>
      </c>
      <c r="B22" t="s">
        <v>26</v>
      </c>
      <c r="C22" t="s">
        <v>10</v>
      </c>
      <c r="D22" s="2">
        <v>1.76</v>
      </c>
      <c r="E22" s="3">
        <f t="shared" si="0"/>
        <v>1.6920000000000002</v>
      </c>
      <c r="F22" s="2">
        <v>0.67</v>
      </c>
      <c r="G22" s="3">
        <f t="shared" si="1"/>
        <v>0.57999999999999996</v>
      </c>
      <c r="H22" s="2">
        <v>5</v>
      </c>
      <c r="I22" s="4">
        <v>0.39</v>
      </c>
      <c r="J22" s="2">
        <v>1.0900000000000001</v>
      </c>
      <c r="K22" s="2">
        <v>3.81</v>
      </c>
      <c r="L22" s="2">
        <v>1.78</v>
      </c>
      <c r="M22" s="5">
        <v>1.39</v>
      </c>
    </row>
    <row r="23" spans="1:13" x14ac:dyDescent="0.2">
      <c r="A23" t="s">
        <v>3</v>
      </c>
      <c r="B23" t="s">
        <v>26</v>
      </c>
      <c r="C23" t="s">
        <v>10</v>
      </c>
      <c r="D23" s="2">
        <v>1.07</v>
      </c>
      <c r="E23" s="3">
        <f t="shared" si="0"/>
        <v>1.1579999999999999</v>
      </c>
      <c r="F23" s="2">
        <v>0.05</v>
      </c>
      <c r="G23" s="3">
        <f t="shared" si="1"/>
        <v>0.03</v>
      </c>
      <c r="H23" s="2">
        <v>5</v>
      </c>
      <c r="I23" s="4">
        <v>1.1599999999999999</v>
      </c>
      <c r="J23" s="2">
        <v>1.1000000000000001</v>
      </c>
      <c r="K23" s="2">
        <v>1.08</v>
      </c>
      <c r="L23" s="2">
        <v>1.23</v>
      </c>
      <c r="M23" s="5">
        <v>1.22</v>
      </c>
    </row>
    <row r="24" spans="1:13" x14ac:dyDescent="0.2">
      <c r="A24" t="s">
        <v>16</v>
      </c>
      <c r="B24" t="s">
        <v>26</v>
      </c>
      <c r="C24" t="s">
        <v>5</v>
      </c>
      <c r="D24" s="2">
        <v>2.77</v>
      </c>
      <c r="E24" s="3">
        <f t="shared" si="0"/>
        <v>4.016</v>
      </c>
      <c r="F24" s="2">
        <v>0.74</v>
      </c>
      <c r="G24" s="3">
        <f t="shared" si="1"/>
        <v>0.47</v>
      </c>
      <c r="H24" s="2">
        <v>5</v>
      </c>
      <c r="I24" s="4">
        <v>5.2</v>
      </c>
      <c r="J24" s="2">
        <v>2.78</v>
      </c>
      <c r="K24" s="2">
        <v>3.87</v>
      </c>
      <c r="L24" s="2">
        <v>3.29</v>
      </c>
      <c r="M24" s="2">
        <v>4.9400000000000004</v>
      </c>
    </row>
    <row r="25" spans="1:13" x14ac:dyDescent="0.2">
      <c r="A25" t="s">
        <v>3</v>
      </c>
      <c r="B25" t="s">
        <v>26</v>
      </c>
      <c r="C25" t="s">
        <v>5</v>
      </c>
      <c r="D25" s="2">
        <v>1.32</v>
      </c>
      <c r="E25" s="3">
        <f t="shared" si="0"/>
        <v>1.532</v>
      </c>
      <c r="F25" s="2">
        <v>0.19</v>
      </c>
      <c r="G25" s="3">
        <f t="shared" si="1"/>
        <v>0.19</v>
      </c>
      <c r="H25" s="2">
        <v>5</v>
      </c>
      <c r="I25" s="4">
        <v>2.19</v>
      </c>
      <c r="J25" s="2">
        <v>1.36</v>
      </c>
      <c r="K25" s="2">
        <v>1.02</v>
      </c>
      <c r="L25" s="2">
        <v>1.64</v>
      </c>
      <c r="M25" s="2">
        <v>1.45</v>
      </c>
    </row>
    <row r="26" spans="1:13" x14ac:dyDescent="0.2">
      <c r="A26" t="s">
        <v>16</v>
      </c>
      <c r="B26" t="s">
        <v>26</v>
      </c>
      <c r="C26" t="s">
        <v>8</v>
      </c>
      <c r="D26" s="2">
        <v>0.27</v>
      </c>
      <c r="E26" s="3">
        <f t="shared" si="0"/>
        <v>0.246</v>
      </c>
      <c r="F26" s="2">
        <v>0.09</v>
      </c>
      <c r="G26" s="3">
        <f t="shared" si="1"/>
        <v>0.08</v>
      </c>
      <c r="H26" s="2">
        <v>5</v>
      </c>
      <c r="I26" s="4">
        <v>0.25</v>
      </c>
      <c r="J26" s="2">
        <v>0.55000000000000004</v>
      </c>
      <c r="K26" s="2">
        <v>0.19</v>
      </c>
      <c r="L26" s="2">
        <v>0.09</v>
      </c>
      <c r="M26" s="2">
        <v>0.15</v>
      </c>
    </row>
    <row r="27" spans="1:13" x14ac:dyDescent="0.2">
      <c r="A27" t="s">
        <v>3</v>
      </c>
      <c r="B27" t="s">
        <v>26</v>
      </c>
      <c r="C27" t="s">
        <v>8</v>
      </c>
      <c r="D27" s="2">
        <v>0.42</v>
      </c>
      <c r="E27" s="3">
        <f t="shared" si="0"/>
        <v>0.7340000000000001</v>
      </c>
      <c r="F27" s="2">
        <v>0.24</v>
      </c>
      <c r="G27" s="3">
        <f t="shared" si="1"/>
        <v>0.17</v>
      </c>
      <c r="H27" s="2">
        <v>5</v>
      </c>
      <c r="I27" s="4">
        <v>1</v>
      </c>
      <c r="J27" s="2">
        <v>0.8</v>
      </c>
      <c r="K27" s="2">
        <v>0.11</v>
      </c>
      <c r="L27" s="2">
        <v>0.7</v>
      </c>
      <c r="M27" s="2">
        <v>1.06</v>
      </c>
    </row>
    <row r="28" spans="1:13" x14ac:dyDescent="0.2">
      <c r="A28" t="s">
        <v>16</v>
      </c>
      <c r="B28" t="s">
        <v>26</v>
      </c>
      <c r="C28" t="s">
        <v>6</v>
      </c>
      <c r="D28" s="2">
        <v>1.68</v>
      </c>
      <c r="E28" s="3">
        <f t="shared" si="0"/>
        <v>1.6600000000000001</v>
      </c>
      <c r="F28" s="2">
        <v>0.55000000000000004</v>
      </c>
      <c r="G28" s="3">
        <f t="shared" si="1"/>
        <v>0.53</v>
      </c>
      <c r="H28" s="2">
        <v>5</v>
      </c>
      <c r="I28" s="4">
        <v>0.44</v>
      </c>
      <c r="J28" s="2">
        <v>0.64</v>
      </c>
      <c r="K28" s="2">
        <v>3.38</v>
      </c>
      <c r="L28" s="2">
        <v>2.08</v>
      </c>
      <c r="M28" s="2">
        <v>1.76</v>
      </c>
    </row>
    <row r="29" spans="1:13" x14ac:dyDescent="0.2">
      <c r="A29" t="s">
        <v>3</v>
      </c>
      <c r="B29" t="s">
        <v>26</v>
      </c>
      <c r="C29" t="s">
        <v>6</v>
      </c>
      <c r="D29" s="2">
        <v>2.0099999999999998</v>
      </c>
      <c r="E29" s="3">
        <f t="shared" si="0"/>
        <v>2.1259999999999999</v>
      </c>
      <c r="F29" s="2">
        <v>0.22</v>
      </c>
      <c r="G29" s="3">
        <f t="shared" si="1"/>
        <v>0.28000000000000003</v>
      </c>
      <c r="H29" s="2">
        <v>5</v>
      </c>
      <c r="I29" s="4">
        <v>2.73</v>
      </c>
      <c r="J29" s="2">
        <v>1.7</v>
      </c>
      <c r="K29" s="2">
        <v>2.52</v>
      </c>
      <c r="L29" s="2">
        <v>2.4300000000000002</v>
      </c>
      <c r="M29" s="2">
        <v>1.25</v>
      </c>
    </row>
    <row r="30" spans="1:13" x14ac:dyDescent="0.2">
      <c r="A30" t="s">
        <v>16</v>
      </c>
      <c r="B30" t="s">
        <v>27</v>
      </c>
      <c r="C30" t="s">
        <v>11</v>
      </c>
      <c r="D30" s="2">
        <v>0.22</v>
      </c>
      <c r="E30" s="3">
        <f t="shared" si="0"/>
        <v>0.22599999999999998</v>
      </c>
      <c r="F30" s="2">
        <v>0.01</v>
      </c>
      <c r="G30" s="3">
        <f t="shared" si="1"/>
        <v>0.01</v>
      </c>
      <c r="H30" s="2">
        <v>5</v>
      </c>
      <c r="I30" s="4">
        <v>0.21</v>
      </c>
      <c r="J30" s="2">
        <v>0.26</v>
      </c>
      <c r="K30" s="2">
        <v>0.23</v>
      </c>
      <c r="L30" s="2">
        <v>0.2</v>
      </c>
      <c r="M30" s="2">
        <v>0.23</v>
      </c>
    </row>
    <row r="31" spans="1:13" x14ac:dyDescent="0.2">
      <c r="A31" t="s">
        <v>3</v>
      </c>
      <c r="B31" t="s">
        <v>27</v>
      </c>
      <c r="C31" t="s">
        <v>11</v>
      </c>
      <c r="D31" s="2">
        <v>0.34</v>
      </c>
      <c r="E31" s="3">
        <f t="shared" si="0"/>
        <v>0.30399999999999999</v>
      </c>
      <c r="F31" s="2">
        <v>0.12</v>
      </c>
      <c r="G31" s="3">
        <f t="shared" si="1"/>
        <v>0.08</v>
      </c>
      <c r="H31" s="2">
        <v>5</v>
      </c>
      <c r="I31" s="4">
        <v>0.39</v>
      </c>
      <c r="J31" s="2">
        <v>0.56000000000000005</v>
      </c>
      <c r="K31" s="2">
        <v>0.28999999999999998</v>
      </c>
      <c r="L31" s="2">
        <v>0.16</v>
      </c>
      <c r="M31" s="2">
        <v>0.12</v>
      </c>
    </row>
    <row r="32" spans="1:13" x14ac:dyDescent="0.2">
      <c r="A32" t="s">
        <v>16</v>
      </c>
      <c r="B32" t="s">
        <v>27</v>
      </c>
      <c r="C32" t="s">
        <v>9</v>
      </c>
      <c r="D32" s="2">
        <v>4.5</v>
      </c>
      <c r="E32" s="3">
        <f t="shared" si="0"/>
        <v>4.702</v>
      </c>
      <c r="F32" s="2">
        <v>0.13</v>
      </c>
      <c r="G32" s="3">
        <f t="shared" si="1"/>
        <v>0.18</v>
      </c>
      <c r="H32" s="2">
        <v>4</v>
      </c>
      <c r="I32" s="4">
        <v>4.57</v>
      </c>
      <c r="J32" s="2">
        <v>4.92</v>
      </c>
      <c r="K32" s="2">
        <v>4.0599999999999996</v>
      </c>
      <c r="L32" s="2">
        <v>5.0599999999999996</v>
      </c>
      <c r="M32" s="2">
        <v>4.9000000000000004</v>
      </c>
    </row>
    <row r="33" spans="1:13" x14ac:dyDescent="0.2">
      <c r="A33" t="s">
        <v>3</v>
      </c>
      <c r="B33" t="s">
        <v>27</v>
      </c>
      <c r="C33" t="s">
        <v>9</v>
      </c>
      <c r="D33" s="2">
        <v>7.9</v>
      </c>
      <c r="E33" s="3">
        <f t="shared" si="0"/>
        <v>6.3280000000000003</v>
      </c>
      <c r="F33" s="2">
        <v>0.32</v>
      </c>
      <c r="G33" s="3">
        <f t="shared" si="1"/>
        <v>0.49</v>
      </c>
      <c r="H33" s="2">
        <v>5</v>
      </c>
      <c r="I33" s="4">
        <v>6.1</v>
      </c>
      <c r="J33" s="2">
        <v>7.28</v>
      </c>
      <c r="K33" s="2">
        <v>6.9</v>
      </c>
      <c r="L33" s="2">
        <v>4.53</v>
      </c>
      <c r="M33" s="2">
        <v>6.83</v>
      </c>
    </row>
    <row r="34" spans="1:13" x14ac:dyDescent="0.2">
      <c r="A34" t="s">
        <v>16</v>
      </c>
      <c r="B34" t="s">
        <v>27</v>
      </c>
      <c r="C34" t="s">
        <v>7</v>
      </c>
      <c r="D34" s="2">
        <v>1.8</v>
      </c>
      <c r="E34" s="3">
        <f t="shared" ref="E34:E65" si="2">AVERAGE(I34:M34)</f>
        <v>1.8359999999999999</v>
      </c>
      <c r="F34" s="2">
        <v>0.33</v>
      </c>
      <c r="G34" s="3">
        <f t="shared" ref="G34:G65" si="3">ROUND(STDEV(I34:M34)/SQRT(COUNT(I34:M34)),2)</f>
        <v>0.37</v>
      </c>
      <c r="H34" s="2">
        <v>5</v>
      </c>
      <c r="I34" s="4">
        <v>2.1</v>
      </c>
      <c r="J34" s="2">
        <v>2.2000000000000002</v>
      </c>
      <c r="K34" s="2">
        <v>1.72</v>
      </c>
      <c r="L34" s="2">
        <v>0.5</v>
      </c>
      <c r="M34" s="2">
        <v>2.66</v>
      </c>
    </row>
    <row r="35" spans="1:13" x14ac:dyDescent="0.2">
      <c r="A35" t="s">
        <v>3</v>
      </c>
      <c r="B35" t="s">
        <v>27</v>
      </c>
      <c r="C35" t="s">
        <v>7</v>
      </c>
      <c r="D35" s="2">
        <v>1.3</v>
      </c>
      <c r="E35" s="3">
        <f t="shared" si="2"/>
        <v>0.95399999999999996</v>
      </c>
      <c r="F35" s="2">
        <v>0.22</v>
      </c>
      <c r="G35" s="3">
        <f t="shared" si="3"/>
        <v>0.32</v>
      </c>
      <c r="H35" s="2">
        <v>5</v>
      </c>
      <c r="I35" s="4">
        <v>0.6</v>
      </c>
      <c r="J35" s="2">
        <v>0.8</v>
      </c>
      <c r="K35" s="2">
        <v>2.2400000000000002</v>
      </c>
      <c r="L35" s="2">
        <v>0.61</v>
      </c>
      <c r="M35" s="2">
        <v>0.52</v>
      </c>
    </row>
    <row r="36" spans="1:13" x14ac:dyDescent="0.2">
      <c r="A36" t="s">
        <v>16</v>
      </c>
      <c r="B36" t="s">
        <v>27</v>
      </c>
      <c r="C36" t="s">
        <v>10</v>
      </c>
      <c r="D36" s="2">
        <v>3.55</v>
      </c>
      <c r="E36" s="3">
        <f t="shared" si="2"/>
        <v>4.1100000000000003</v>
      </c>
      <c r="F36" s="2">
        <v>1.06</v>
      </c>
      <c r="G36" s="3">
        <f t="shared" si="3"/>
        <v>1.04</v>
      </c>
      <c r="H36" s="2">
        <v>5</v>
      </c>
      <c r="I36" s="4">
        <v>2.63</v>
      </c>
      <c r="J36" s="2">
        <v>4.24</v>
      </c>
      <c r="K36" s="2">
        <v>5.54</v>
      </c>
      <c r="L36" s="2">
        <v>7.03</v>
      </c>
      <c r="M36" s="2">
        <v>1.1100000000000001</v>
      </c>
    </row>
    <row r="37" spans="1:13" x14ac:dyDescent="0.2">
      <c r="A37" t="s">
        <v>3</v>
      </c>
      <c r="B37" t="s">
        <v>27</v>
      </c>
      <c r="C37" t="s">
        <v>10</v>
      </c>
      <c r="D37" s="2">
        <v>1.5</v>
      </c>
      <c r="E37" s="3">
        <f t="shared" si="2"/>
        <v>1.284</v>
      </c>
      <c r="F37" s="2">
        <v>0.33</v>
      </c>
      <c r="G37" s="3">
        <f t="shared" si="3"/>
        <v>0.22</v>
      </c>
      <c r="H37" s="2">
        <v>5</v>
      </c>
      <c r="I37" s="4">
        <v>1.39</v>
      </c>
      <c r="J37" s="2">
        <v>1.91</v>
      </c>
      <c r="K37" s="2">
        <v>1.47</v>
      </c>
      <c r="L37" s="2">
        <v>0.62</v>
      </c>
      <c r="M37" s="2">
        <v>1.03</v>
      </c>
    </row>
    <row r="38" spans="1:13" x14ac:dyDescent="0.2">
      <c r="A38" t="s">
        <v>16</v>
      </c>
      <c r="B38" t="s">
        <v>27</v>
      </c>
      <c r="C38" t="s">
        <v>5</v>
      </c>
      <c r="D38" s="2">
        <v>3.15</v>
      </c>
      <c r="E38" s="3">
        <f t="shared" si="2"/>
        <v>2.9180000000000001</v>
      </c>
      <c r="F38" s="2">
        <v>0.43</v>
      </c>
      <c r="G38" s="3">
        <f t="shared" si="3"/>
        <v>0.54</v>
      </c>
      <c r="H38" s="2">
        <v>5</v>
      </c>
      <c r="I38" s="4">
        <v>2.66</v>
      </c>
      <c r="J38" s="2">
        <v>3.98</v>
      </c>
      <c r="K38" s="2">
        <v>4.38</v>
      </c>
      <c r="L38" s="2">
        <v>1.9</v>
      </c>
      <c r="M38" s="2">
        <v>1.67</v>
      </c>
    </row>
    <row r="39" spans="1:13" x14ac:dyDescent="0.2">
      <c r="A39" t="s">
        <v>3</v>
      </c>
      <c r="B39" t="s">
        <v>27</v>
      </c>
      <c r="C39" t="s">
        <v>5</v>
      </c>
      <c r="D39" s="2">
        <v>1.34</v>
      </c>
      <c r="E39" s="3">
        <f t="shared" si="2"/>
        <v>1.5680000000000001</v>
      </c>
      <c r="F39" s="2">
        <v>0.31</v>
      </c>
      <c r="G39" s="3">
        <f t="shared" si="3"/>
        <v>0.22</v>
      </c>
      <c r="H39" s="2">
        <v>5</v>
      </c>
      <c r="I39" s="4">
        <v>1.22</v>
      </c>
      <c r="J39" s="2">
        <v>2.02</v>
      </c>
      <c r="K39" s="2">
        <v>2.16</v>
      </c>
      <c r="L39" s="2">
        <v>1.1200000000000001</v>
      </c>
      <c r="M39" s="2">
        <v>1.32</v>
      </c>
    </row>
    <row r="40" spans="1:13" x14ac:dyDescent="0.2">
      <c r="A40" t="s">
        <v>16</v>
      </c>
      <c r="B40" t="s">
        <v>27</v>
      </c>
      <c r="C40" t="s">
        <v>8</v>
      </c>
      <c r="D40" s="2">
        <v>0.24</v>
      </c>
      <c r="E40" s="3">
        <f t="shared" si="2"/>
        <v>0.23199999999999998</v>
      </c>
      <c r="F40" s="2">
        <v>0.05</v>
      </c>
      <c r="G40" s="3">
        <f t="shared" si="3"/>
        <v>0.04</v>
      </c>
      <c r="H40" s="2">
        <v>5</v>
      </c>
      <c r="I40" s="4">
        <v>0.3</v>
      </c>
      <c r="J40" s="2">
        <v>0.34</v>
      </c>
      <c r="K40" s="2">
        <v>0.24</v>
      </c>
      <c r="L40" s="2">
        <v>0.13</v>
      </c>
      <c r="M40" s="2">
        <v>0.15</v>
      </c>
    </row>
    <row r="41" spans="1:13" x14ac:dyDescent="0.2">
      <c r="A41" t="s">
        <v>3</v>
      </c>
      <c r="B41" t="s">
        <v>27</v>
      </c>
      <c r="C41" t="s">
        <v>8</v>
      </c>
      <c r="D41" s="2">
        <v>0.75</v>
      </c>
      <c r="E41" s="3">
        <f t="shared" si="2"/>
        <v>0.81199999999999994</v>
      </c>
      <c r="F41" s="2">
        <v>0.11</v>
      </c>
      <c r="G41" s="3">
        <f t="shared" si="3"/>
        <v>0.12</v>
      </c>
      <c r="H41" s="2">
        <v>5</v>
      </c>
      <c r="I41" s="4">
        <v>0.97</v>
      </c>
      <c r="J41" s="2">
        <v>0.5</v>
      </c>
      <c r="K41" s="2">
        <v>0.66</v>
      </c>
      <c r="L41" s="2">
        <v>1.17</v>
      </c>
      <c r="M41" s="2">
        <v>0.76</v>
      </c>
    </row>
    <row r="42" spans="1:13" x14ac:dyDescent="0.2">
      <c r="A42" t="s">
        <v>16</v>
      </c>
      <c r="B42" t="s">
        <v>27</v>
      </c>
      <c r="C42" t="s">
        <v>6</v>
      </c>
      <c r="D42" s="2">
        <v>4.3</v>
      </c>
      <c r="E42" s="3">
        <f t="shared" si="2"/>
        <v>3.9159999999999995</v>
      </c>
      <c r="F42" s="2">
        <v>1.07</v>
      </c>
      <c r="G42" s="3">
        <f t="shared" si="3"/>
        <v>0.85</v>
      </c>
      <c r="H42" s="2">
        <v>5</v>
      </c>
      <c r="I42" s="4">
        <v>2.7</v>
      </c>
      <c r="J42" s="2">
        <v>2.74</v>
      </c>
      <c r="K42" s="2">
        <v>6.38</v>
      </c>
      <c r="L42" s="2">
        <v>5.56</v>
      </c>
      <c r="M42" s="2">
        <v>2.2000000000000002</v>
      </c>
    </row>
    <row r="43" spans="1:13" x14ac:dyDescent="0.2">
      <c r="A43" t="s">
        <v>3</v>
      </c>
      <c r="B43" t="s">
        <v>27</v>
      </c>
      <c r="C43" t="s">
        <v>6</v>
      </c>
      <c r="D43" s="2">
        <v>3.1</v>
      </c>
      <c r="E43" s="3">
        <f t="shared" si="2"/>
        <v>3.5020000000000002</v>
      </c>
      <c r="F43" s="2">
        <v>0.54</v>
      </c>
      <c r="G43" s="3">
        <f t="shared" si="3"/>
        <v>0.66</v>
      </c>
      <c r="H43" s="2">
        <v>5</v>
      </c>
      <c r="I43" s="4">
        <v>3.77</v>
      </c>
      <c r="J43" s="2">
        <v>1.76</v>
      </c>
      <c r="K43" s="2">
        <v>2.36</v>
      </c>
      <c r="L43" s="2">
        <v>4.1399999999999997</v>
      </c>
      <c r="M43" s="2">
        <v>5.48</v>
      </c>
    </row>
    <row r="44" spans="1:13" x14ac:dyDescent="0.2">
      <c r="A44" t="s">
        <v>16</v>
      </c>
      <c r="B44" t="s">
        <v>28</v>
      </c>
      <c r="C44" t="s">
        <v>11</v>
      </c>
      <c r="D44" s="2">
        <v>0.31</v>
      </c>
      <c r="E44" s="3">
        <f t="shared" si="2"/>
        <v>0.67800000000000005</v>
      </c>
      <c r="F44" s="2">
        <v>0.27</v>
      </c>
      <c r="G44" s="3">
        <f t="shared" si="3"/>
        <v>0.18</v>
      </c>
      <c r="H44" s="2">
        <v>5</v>
      </c>
      <c r="I44" s="4">
        <v>0.27</v>
      </c>
      <c r="J44" s="2">
        <v>0.7</v>
      </c>
      <c r="K44" s="2">
        <v>1.28</v>
      </c>
      <c r="L44" s="2">
        <v>0.33</v>
      </c>
      <c r="M44" s="2">
        <v>0.81</v>
      </c>
    </row>
    <row r="45" spans="1:13" x14ac:dyDescent="0.2">
      <c r="A45" t="s">
        <v>3</v>
      </c>
      <c r="B45" t="s">
        <v>28</v>
      </c>
      <c r="C45" t="s">
        <v>11</v>
      </c>
      <c r="D45" s="2">
        <v>0.41</v>
      </c>
      <c r="E45" s="3">
        <f t="shared" si="2"/>
        <v>0.52600000000000002</v>
      </c>
      <c r="F45" s="2">
        <v>0.22</v>
      </c>
      <c r="G45" s="3">
        <f t="shared" si="3"/>
        <v>0.05</v>
      </c>
      <c r="H45" s="2">
        <v>5</v>
      </c>
      <c r="I45" s="4">
        <v>0.33</v>
      </c>
      <c r="J45" s="2">
        <v>0.64</v>
      </c>
      <c r="K45" s="2">
        <v>0.56999999999999995</v>
      </c>
      <c r="L45" s="2">
        <v>0.56000000000000005</v>
      </c>
      <c r="M45" s="2">
        <v>0.53</v>
      </c>
    </row>
    <row r="46" spans="1:13" x14ac:dyDescent="0.2">
      <c r="A46" t="s">
        <v>16</v>
      </c>
      <c r="B46" t="s">
        <v>28</v>
      </c>
      <c r="C46" t="s">
        <v>9</v>
      </c>
      <c r="D46" s="2">
        <v>4.3</v>
      </c>
      <c r="E46" s="3">
        <f t="shared" si="2"/>
        <v>4.0600000000000005</v>
      </c>
      <c r="F46" s="2">
        <v>0.31</v>
      </c>
      <c r="G46" s="3">
        <f t="shared" si="3"/>
        <v>0.09</v>
      </c>
      <c r="H46" s="2">
        <v>5</v>
      </c>
      <c r="I46" s="4">
        <v>3.84</v>
      </c>
      <c r="J46" s="2">
        <v>4.01</v>
      </c>
      <c r="K46" s="2">
        <v>4.2699999999999996</v>
      </c>
      <c r="L46" s="2">
        <v>4.29</v>
      </c>
      <c r="M46" s="2">
        <v>3.89</v>
      </c>
    </row>
    <row r="47" spans="1:13" x14ac:dyDescent="0.2">
      <c r="A47" t="s">
        <v>3</v>
      </c>
      <c r="B47" t="s">
        <v>28</v>
      </c>
      <c r="C47" t="s">
        <v>9</v>
      </c>
      <c r="D47" s="2">
        <v>5.67</v>
      </c>
      <c r="E47" s="3">
        <f t="shared" si="2"/>
        <v>5.3179999999999996</v>
      </c>
      <c r="F47" s="2">
        <v>0.5</v>
      </c>
      <c r="G47" s="3">
        <f t="shared" si="3"/>
        <v>0.26</v>
      </c>
      <c r="H47" s="2">
        <v>5</v>
      </c>
      <c r="I47" s="4">
        <v>6.27</v>
      </c>
      <c r="J47" s="2">
        <v>4.95</v>
      </c>
      <c r="K47" s="2">
        <v>5.4</v>
      </c>
      <c r="L47" s="2">
        <v>5.17</v>
      </c>
      <c r="M47" s="2">
        <v>4.8</v>
      </c>
    </row>
    <row r="48" spans="1:13" x14ac:dyDescent="0.2">
      <c r="A48" t="s">
        <v>16</v>
      </c>
      <c r="B48" t="s">
        <v>28</v>
      </c>
      <c r="C48" t="s">
        <v>7</v>
      </c>
      <c r="D48" s="2">
        <v>1.34</v>
      </c>
      <c r="E48" s="3">
        <f t="shared" si="2"/>
        <v>1.238</v>
      </c>
      <c r="F48" s="2">
        <v>0.21</v>
      </c>
      <c r="G48" s="3">
        <f t="shared" si="3"/>
        <v>0.17</v>
      </c>
      <c r="H48" s="2">
        <v>5</v>
      </c>
      <c r="I48" s="4">
        <v>1.05</v>
      </c>
      <c r="J48" s="2">
        <v>0.83</v>
      </c>
      <c r="K48" s="2">
        <v>1.81</v>
      </c>
      <c r="L48" s="2">
        <v>1.39</v>
      </c>
      <c r="M48" s="2">
        <v>1.1100000000000001</v>
      </c>
    </row>
    <row r="49" spans="1:13" x14ac:dyDescent="0.2">
      <c r="A49" t="s">
        <v>3</v>
      </c>
      <c r="B49" t="s">
        <v>28</v>
      </c>
      <c r="C49" t="s">
        <v>7</v>
      </c>
      <c r="D49" s="2">
        <v>1.57</v>
      </c>
      <c r="E49" s="3">
        <f t="shared" si="2"/>
        <v>1.488</v>
      </c>
      <c r="F49" s="2">
        <v>0.21</v>
      </c>
      <c r="G49" s="3">
        <f t="shared" si="3"/>
        <v>0.22</v>
      </c>
      <c r="H49" s="2">
        <v>5</v>
      </c>
      <c r="I49" s="4">
        <v>2.1800000000000002</v>
      </c>
      <c r="J49" s="2">
        <v>1.56</v>
      </c>
      <c r="K49" s="2">
        <v>0.8</v>
      </c>
      <c r="L49" s="2">
        <v>1.43</v>
      </c>
      <c r="M49" s="2">
        <v>1.47</v>
      </c>
    </row>
    <row r="50" spans="1:13" x14ac:dyDescent="0.2">
      <c r="A50" t="s">
        <v>16</v>
      </c>
      <c r="B50" t="s">
        <v>28</v>
      </c>
      <c r="C50" t="s">
        <v>10</v>
      </c>
      <c r="D50" s="2">
        <v>4.13</v>
      </c>
      <c r="E50" s="3">
        <f t="shared" si="2"/>
        <v>2.4739999999999998</v>
      </c>
      <c r="F50" s="2">
        <v>1.05</v>
      </c>
      <c r="G50" s="3">
        <f t="shared" si="3"/>
        <v>0.6</v>
      </c>
      <c r="H50" s="2">
        <v>5</v>
      </c>
      <c r="I50" s="4">
        <v>2.11</v>
      </c>
      <c r="J50" s="2">
        <v>1.83</v>
      </c>
      <c r="K50" s="2">
        <v>2.5</v>
      </c>
      <c r="L50" s="2">
        <v>1.22</v>
      </c>
      <c r="M50" s="2">
        <v>4.71</v>
      </c>
    </row>
    <row r="51" spans="1:13" x14ac:dyDescent="0.2">
      <c r="A51" t="s">
        <v>3</v>
      </c>
      <c r="B51" t="s">
        <v>28</v>
      </c>
      <c r="C51" t="s">
        <v>10</v>
      </c>
      <c r="D51" s="2">
        <v>1.77</v>
      </c>
      <c r="E51" s="3">
        <f t="shared" si="2"/>
        <v>1.6280000000000001</v>
      </c>
      <c r="F51" s="2">
        <v>0.28000000000000003</v>
      </c>
      <c r="G51" s="3">
        <f t="shared" si="3"/>
        <v>0.39</v>
      </c>
      <c r="H51" s="2">
        <v>5</v>
      </c>
      <c r="I51" s="4">
        <v>1.45</v>
      </c>
      <c r="J51" s="2">
        <v>2.7</v>
      </c>
      <c r="K51" s="2">
        <v>0.94</v>
      </c>
      <c r="L51" s="2">
        <v>0.72</v>
      </c>
      <c r="M51" s="2">
        <v>2.33</v>
      </c>
    </row>
    <row r="52" spans="1:13" x14ac:dyDescent="0.2">
      <c r="A52" t="s">
        <v>16</v>
      </c>
      <c r="B52" t="s">
        <v>28</v>
      </c>
      <c r="C52" t="s">
        <v>5</v>
      </c>
      <c r="D52" s="2">
        <v>4.32</v>
      </c>
      <c r="E52" s="3">
        <f t="shared" si="2"/>
        <v>4.4820000000000002</v>
      </c>
      <c r="F52" s="2">
        <v>0.54</v>
      </c>
      <c r="G52" s="3">
        <f t="shared" si="3"/>
        <v>0.6</v>
      </c>
      <c r="H52" s="2">
        <v>5</v>
      </c>
      <c r="I52" s="4">
        <v>6.84</v>
      </c>
      <c r="J52" s="2">
        <v>3.65</v>
      </c>
      <c r="K52" s="2">
        <v>3.62</v>
      </c>
      <c r="L52" s="2">
        <v>4.07</v>
      </c>
      <c r="M52" s="2">
        <v>4.2300000000000004</v>
      </c>
    </row>
    <row r="53" spans="1:13" x14ac:dyDescent="0.2">
      <c r="A53" t="s">
        <v>3</v>
      </c>
      <c r="B53" t="s">
        <v>28</v>
      </c>
      <c r="C53" t="s">
        <v>5</v>
      </c>
      <c r="D53" s="2">
        <v>1.44</v>
      </c>
      <c r="E53" s="3">
        <f t="shared" si="2"/>
        <v>1.3080000000000001</v>
      </c>
      <c r="F53" s="2">
        <v>0.27</v>
      </c>
      <c r="G53" s="3">
        <f t="shared" si="3"/>
        <v>0.36</v>
      </c>
      <c r="H53" s="2">
        <v>5</v>
      </c>
      <c r="I53" s="4">
        <v>1.61</v>
      </c>
      <c r="J53" s="2">
        <v>1.07</v>
      </c>
      <c r="K53" s="2">
        <v>0.5</v>
      </c>
      <c r="L53" s="2">
        <v>0.81</v>
      </c>
      <c r="M53" s="2">
        <v>2.5499999999999998</v>
      </c>
    </row>
    <row r="54" spans="1:13" x14ac:dyDescent="0.2">
      <c r="A54" t="s">
        <v>16</v>
      </c>
      <c r="B54" t="s">
        <v>28</v>
      </c>
      <c r="C54" t="s">
        <v>8</v>
      </c>
      <c r="D54" s="2">
        <v>0.19</v>
      </c>
      <c r="E54" s="3">
        <f t="shared" si="2"/>
        <v>0.188</v>
      </c>
      <c r="F54" s="2">
        <v>0.02</v>
      </c>
      <c r="G54" s="3">
        <f t="shared" si="3"/>
        <v>0.01</v>
      </c>
      <c r="H54" s="2">
        <v>5</v>
      </c>
      <c r="I54" s="4">
        <v>0.19</v>
      </c>
      <c r="J54" s="2">
        <v>0.16</v>
      </c>
      <c r="K54" s="2">
        <v>0.21</v>
      </c>
      <c r="L54" s="2">
        <v>0.2</v>
      </c>
      <c r="M54" s="2">
        <v>0.18</v>
      </c>
    </row>
    <row r="55" spans="1:13" x14ac:dyDescent="0.2">
      <c r="A55" t="s">
        <v>3</v>
      </c>
      <c r="B55" t="s">
        <v>28</v>
      </c>
      <c r="C55" t="s">
        <v>8</v>
      </c>
      <c r="D55" s="2">
        <v>1.1200000000000001</v>
      </c>
      <c r="E55" s="3">
        <f t="shared" si="2"/>
        <v>1.0840000000000001</v>
      </c>
      <c r="F55" s="2">
        <v>0.04</v>
      </c>
      <c r="G55" s="3">
        <f t="shared" si="3"/>
        <v>0.03</v>
      </c>
      <c r="H55" s="2">
        <v>5</v>
      </c>
      <c r="I55" s="4">
        <v>1.08</v>
      </c>
      <c r="J55" s="2">
        <v>1.1599999999999999</v>
      </c>
      <c r="K55" s="2">
        <v>1.1499999999999999</v>
      </c>
      <c r="L55" s="2">
        <v>1.02</v>
      </c>
      <c r="M55" s="2">
        <v>1.01</v>
      </c>
    </row>
    <row r="56" spans="1:13" x14ac:dyDescent="0.2">
      <c r="A56" t="s">
        <v>16</v>
      </c>
      <c r="B56" t="s">
        <v>28</v>
      </c>
      <c r="C56" t="s">
        <v>6</v>
      </c>
      <c r="D56" s="2">
        <v>5.1100000000000003</v>
      </c>
      <c r="E56" s="3">
        <f t="shared" si="2"/>
        <v>5.42</v>
      </c>
      <c r="F56" s="2">
        <v>0.72</v>
      </c>
      <c r="G56" s="3">
        <f t="shared" si="3"/>
        <v>0.97</v>
      </c>
      <c r="H56" s="2">
        <v>5</v>
      </c>
      <c r="I56" s="4">
        <v>4.37</v>
      </c>
      <c r="J56" s="2">
        <v>7.03</v>
      </c>
      <c r="K56" s="2">
        <v>6</v>
      </c>
      <c r="L56" s="2">
        <v>7.5</v>
      </c>
      <c r="M56" s="2">
        <v>2.2000000000000002</v>
      </c>
    </row>
    <row r="57" spans="1:13" x14ac:dyDescent="0.2">
      <c r="A57" t="s">
        <v>3</v>
      </c>
      <c r="B57" t="s">
        <v>28</v>
      </c>
      <c r="C57" t="s">
        <v>6</v>
      </c>
      <c r="D57" s="2">
        <v>2.88</v>
      </c>
      <c r="E57" s="3">
        <f t="shared" si="2"/>
        <v>2.726</v>
      </c>
      <c r="F57" s="2">
        <v>0.13</v>
      </c>
      <c r="G57" s="3">
        <f t="shared" si="3"/>
        <v>7.0000000000000007E-2</v>
      </c>
      <c r="H57" s="2">
        <v>5</v>
      </c>
      <c r="I57" s="4">
        <v>2.56</v>
      </c>
      <c r="J57" s="2">
        <v>2.81</v>
      </c>
      <c r="K57" s="2">
        <v>2.69</v>
      </c>
      <c r="L57" s="2">
        <v>2.97</v>
      </c>
      <c r="M57" s="2">
        <v>2.6</v>
      </c>
    </row>
    <row r="58" spans="1:13" x14ac:dyDescent="0.2">
      <c r="A58" s="6" t="s">
        <v>16</v>
      </c>
      <c r="B58" s="6" t="s">
        <v>30</v>
      </c>
      <c r="C58" s="6" t="s">
        <v>11</v>
      </c>
      <c r="D58" s="2">
        <v>0.33</v>
      </c>
      <c r="E58" s="3">
        <f t="shared" si="2"/>
        <v>0.65000000000000013</v>
      </c>
      <c r="F58" s="2">
        <v>0.59</v>
      </c>
      <c r="G58" s="3">
        <f t="shared" si="3"/>
        <v>0.15</v>
      </c>
      <c r="H58" s="2">
        <v>5</v>
      </c>
      <c r="I58" s="4">
        <v>1.17</v>
      </c>
      <c r="J58" s="2">
        <v>0.39</v>
      </c>
      <c r="K58" s="2">
        <v>0.83</v>
      </c>
      <c r="L58" s="2">
        <v>0.45</v>
      </c>
      <c r="M58" s="2">
        <v>0.41</v>
      </c>
    </row>
    <row r="59" spans="1:13" x14ac:dyDescent="0.2">
      <c r="A59" s="6" t="s">
        <v>3</v>
      </c>
      <c r="B59" s="6" t="s">
        <v>30</v>
      </c>
      <c r="C59" s="6" t="s">
        <v>11</v>
      </c>
      <c r="D59" s="2">
        <v>0.28999999999999998</v>
      </c>
      <c r="E59" s="3">
        <f t="shared" si="2"/>
        <v>0.25600000000000001</v>
      </c>
      <c r="F59" s="2">
        <v>0.13</v>
      </c>
      <c r="G59" s="3">
        <f t="shared" si="3"/>
        <v>0.08</v>
      </c>
      <c r="H59" s="2">
        <v>5</v>
      </c>
      <c r="I59" s="4">
        <v>0.51</v>
      </c>
      <c r="J59" s="2">
        <v>0.09</v>
      </c>
      <c r="K59" s="2">
        <v>0.28000000000000003</v>
      </c>
      <c r="L59" s="2">
        <v>0.34</v>
      </c>
      <c r="M59" s="2">
        <v>0.06</v>
      </c>
    </row>
    <row r="60" spans="1:13" x14ac:dyDescent="0.2">
      <c r="A60" s="6" t="s">
        <v>16</v>
      </c>
      <c r="B60" s="6" t="s">
        <v>30</v>
      </c>
      <c r="C60" s="6" t="s">
        <v>9</v>
      </c>
      <c r="D60" s="2">
        <v>6.15</v>
      </c>
      <c r="E60" s="3">
        <f t="shared" si="2"/>
        <v>5.9320000000000004</v>
      </c>
      <c r="F60" s="2">
        <v>0.48</v>
      </c>
      <c r="G60" s="3">
        <f t="shared" si="3"/>
        <v>0.19</v>
      </c>
      <c r="H60" s="2">
        <v>5</v>
      </c>
      <c r="I60" s="4">
        <v>6.28</v>
      </c>
      <c r="J60" s="2">
        <v>6.29</v>
      </c>
      <c r="K60" s="2">
        <v>5.23</v>
      </c>
      <c r="L60" s="2">
        <v>5.96</v>
      </c>
      <c r="M60" s="2">
        <v>5.9</v>
      </c>
    </row>
    <row r="61" spans="1:13" x14ac:dyDescent="0.2">
      <c r="A61" s="6" t="s">
        <v>3</v>
      </c>
      <c r="B61" s="6" t="s">
        <v>30</v>
      </c>
      <c r="C61" s="6" t="s">
        <v>9</v>
      </c>
      <c r="D61" s="2">
        <v>5.19</v>
      </c>
      <c r="E61" s="3">
        <f t="shared" si="2"/>
        <v>4.9539999999999988</v>
      </c>
      <c r="F61" s="2">
        <v>0.32</v>
      </c>
      <c r="G61" s="3">
        <f t="shared" si="3"/>
        <v>0.48</v>
      </c>
      <c r="H61" s="2">
        <v>5</v>
      </c>
      <c r="I61" s="4">
        <v>5.33</v>
      </c>
      <c r="J61" s="2">
        <v>5.23</v>
      </c>
      <c r="K61" s="2">
        <v>5.98</v>
      </c>
      <c r="L61" s="2">
        <v>3.15</v>
      </c>
      <c r="M61" s="2">
        <v>5.08</v>
      </c>
    </row>
    <row r="62" spans="1:13" x14ac:dyDescent="0.2">
      <c r="A62" s="6" t="s">
        <v>16</v>
      </c>
      <c r="B62" s="6" t="s">
        <v>30</v>
      </c>
      <c r="C62" s="6" t="s">
        <v>7</v>
      </c>
      <c r="D62" s="2">
        <v>1.95</v>
      </c>
      <c r="E62" s="3">
        <f t="shared" si="2"/>
        <v>1.6719999999999999</v>
      </c>
      <c r="F62" s="2">
        <v>0.2</v>
      </c>
      <c r="G62" s="3">
        <f t="shared" si="3"/>
        <v>0.19</v>
      </c>
      <c r="H62" s="2">
        <v>5</v>
      </c>
      <c r="I62" s="4">
        <v>0.92</v>
      </c>
      <c r="J62" s="2">
        <v>2</v>
      </c>
      <c r="K62" s="2">
        <v>1.69</v>
      </c>
      <c r="L62" s="2">
        <v>1.84</v>
      </c>
      <c r="M62" s="2">
        <v>1.91</v>
      </c>
    </row>
    <row r="63" spans="1:13" x14ac:dyDescent="0.2">
      <c r="A63" s="6" t="s">
        <v>3</v>
      </c>
      <c r="B63" s="6" t="s">
        <v>30</v>
      </c>
      <c r="C63" s="6" t="s">
        <v>7</v>
      </c>
      <c r="D63" s="2">
        <v>0.59</v>
      </c>
      <c r="E63" s="3">
        <f t="shared" si="2"/>
        <v>0.45199999999999996</v>
      </c>
      <c r="F63" s="2">
        <v>0.24</v>
      </c>
      <c r="G63" s="3">
        <f t="shared" si="3"/>
        <v>0.25</v>
      </c>
      <c r="H63" s="2">
        <v>5</v>
      </c>
      <c r="I63" s="4">
        <v>0.28999999999999998</v>
      </c>
      <c r="J63" s="2">
        <v>1.41</v>
      </c>
      <c r="K63" s="2">
        <v>0.11</v>
      </c>
      <c r="L63" s="2">
        <v>0.42</v>
      </c>
      <c r="M63" s="2">
        <v>0.03</v>
      </c>
    </row>
    <row r="64" spans="1:13" x14ac:dyDescent="0.2">
      <c r="A64" s="6" t="s">
        <v>16</v>
      </c>
      <c r="B64" s="6" t="s">
        <v>30</v>
      </c>
      <c r="C64" s="6" t="s">
        <v>10</v>
      </c>
      <c r="D64" s="2">
        <v>2.5499999999999998</v>
      </c>
      <c r="E64" s="3">
        <f t="shared" si="2"/>
        <v>2.5840000000000001</v>
      </c>
      <c r="F64" s="2">
        <v>0.18</v>
      </c>
      <c r="G64" s="3">
        <f t="shared" si="3"/>
        <v>0.16</v>
      </c>
      <c r="H64" s="2">
        <v>5</v>
      </c>
      <c r="I64" s="4">
        <v>2.64</v>
      </c>
      <c r="J64" s="2">
        <v>2.97</v>
      </c>
      <c r="K64" s="2">
        <v>2.37</v>
      </c>
      <c r="L64" s="2">
        <v>2.1</v>
      </c>
      <c r="M64" s="2">
        <v>2.84</v>
      </c>
    </row>
    <row r="65" spans="1:13" x14ac:dyDescent="0.2">
      <c r="A65" s="6" t="s">
        <v>3</v>
      </c>
      <c r="B65" s="6" t="s">
        <v>30</v>
      </c>
      <c r="C65" s="6" t="s">
        <v>10</v>
      </c>
      <c r="D65" s="2">
        <v>1.1200000000000001</v>
      </c>
      <c r="E65" s="3">
        <f t="shared" si="2"/>
        <v>1.1919999999999999</v>
      </c>
      <c r="F65" s="2">
        <v>7.0000000000000007E-2</v>
      </c>
      <c r="G65" s="3">
        <f t="shared" si="3"/>
        <v>0.05</v>
      </c>
      <c r="H65" s="2">
        <v>5</v>
      </c>
      <c r="I65" s="4">
        <v>1.06</v>
      </c>
      <c r="J65" s="2">
        <v>1.18</v>
      </c>
      <c r="K65" s="2">
        <v>1.25</v>
      </c>
      <c r="L65" s="2">
        <v>1.1399999999999999</v>
      </c>
      <c r="M65" s="2">
        <v>1.33</v>
      </c>
    </row>
    <row r="66" spans="1:13" x14ac:dyDescent="0.2">
      <c r="A66" s="6" t="s">
        <v>16</v>
      </c>
      <c r="B66" s="6" t="s">
        <v>30</v>
      </c>
      <c r="C66" s="6" t="s">
        <v>5</v>
      </c>
      <c r="D66" s="2">
        <v>2.0099999999999998</v>
      </c>
      <c r="E66" s="3">
        <f t="shared" ref="E66:E85" si="4">AVERAGE(I66:M66)</f>
        <v>2.056</v>
      </c>
      <c r="F66" s="2">
        <v>0.09</v>
      </c>
      <c r="G66" s="3">
        <f t="shared" ref="G66:G85" si="5">ROUND(STDEV(I66:M66)/SQRT(COUNT(I66:M66)),2)</f>
        <v>7.0000000000000007E-2</v>
      </c>
      <c r="H66" s="2">
        <v>5</v>
      </c>
      <c r="I66" s="4">
        <v>1.94</v>
      </c>
      <c r="J66" s="2">
        <v>1.96</v>
      </c>
      <c r="K66" s="2">
        <v>2.2400000000000002</v>
      </c>
      <c r="L66" s="2">
        <v>1.91</v>
      </c>
      <c r="M66" s="2">
        <v>2.23</v>
      </c>
    </row>
    <row r="67" spans="1:13" x14ac:dyDescent="0.2">
      <c r="A67" s="6" t="s">
        <v>3</v>
      </c>
      <c r="B67" s="6" t="s">
        <v>30</v>
      </c>
      <c r="C67" s="6" t="s">
        <v>5</v>
      </c>
      <c r="D67" s="2">
        <v>1.34</v>
      </c>
      <c r="E67" s="3">
        <f t="shared" si="4"/>
        <v>1.286</v>
      </c>
      <c r="F67" s="2">
        <v>0.04</v>
      </c>
      <c r="G67" s="3">
        <f t="shared" si="5"/>
        <v>0.06</v>
      </c>
      <c r="H67" s="2">
        <v>5</v>
      </c>
      <c r="I67" s="4">
        <v>1.29</v>
      </c>
      <c r="J67" s="2">
        <v>1.4</v>
      </c>
      <c r="K67" s="2">
        <v>1.23</v>
      </c>
      <c r="L67" s="2">
        <v>1.1000000000000001</v>
      </c>
      <c r="M67" s="2">
        <v>1.41</v>
      </c>
    </row>
    <row r="68" spans="1:13" x14ac:dyDescent="0.2">
      <c r="A68" s="6" t="s">
        <v>16</v>
      </c>
      <c r="B68" s="6" t="s">
        <v>30</v>
      </c>
      <c r="C68" s="6" t="s">
        <v>8</v>
      </c>
      <c r="D68" s="2">
        <v>0.39</v>
      </c>
      <c r="E68" s="3">
        <f t="shared" si="4"/>
        <v>0.4</v>
      </c>
      <c r="F68" s="2">
        <v>0.02</v>
      </c>
      <c r="G68" s="3">
        <f t="shared" si="5"/>
        <v>0.01</v>
      </c>
      <c r="H68" s="2">
        <v>5</v>
      </c>
      <c r="I68" s="4">
        <v>0.4</v>
      </c>
      <c r="J68" s="2">
        <v>0.42</v>
      </c>
      <c r="K68" s="2">
        <v>0.41</v>
      </c>
      <c r="L68" s="2">
        <v>0.41</v>
      </c>
      <c r="M68" s="2">
        <v>0.36</v>
      </c>
    </row>
    <row r="69" spans="1:13" x14ac:dyDescent="0.2">
      <c r="A69" s="6" t="s">
        <v>3</v>
      </c>
      <c r="B69" s="6" t="s">
        <v>30</v>
      </c>
      <c r="C69" s="6" t="s">
        <v>8</v>
      </c>
      <c r="D69" s="2">
        <v>0.26</v>
      </c>
      <c r="E69" s="3">
        <f t="shared" si="4"/>
        <v>0.28800000000000003</v>
      </c>
      <c r="F69" s="2">
        <v>0.02</v>
      </c>
      <c r="G69" s="3">
        <f t="shared" si="5"/>
        <v>0.01</v>
      </c>
      <c r="H69" s="2">
        <v>5</v>
      </c>
      <c r="I69" s="4">
        <v>0.25</v>
      </c>
      <c r="J69" s="2">
        <v>0.27</v>
      </c>
      <c r="K69" s="2">
        <v>0.33</v>
      </c>
      <c r="L69" s="2">
        <v>0.28999999999999998</v>
      </c>
      <c r="M69" s="2">
        <v>0.3</v>
      </c>
    </row>
    <row r="70" spans="1:13" x14ac:dyDescent="0.2">
      <c r="A70" s="6" t="s">
        <v>16</v>
      </c>
      <c r="B70" s="6" t="s">
        <v>30</v>
      </c>
      <c r="C70" s="6" t="s">
        <v>6</v>
      </c>
      <c r="D70" s="2">
        <v>4.1100000000000003</v>
      </c>
      <c r="E70" s="3">
        <f t="shared" si="4"/>
        <v>3.9480000000000004</v>
      </c>
      <c r="F70" s="2">
        <v>0.14000000000000001</v>
      </c>
      <c r="G70" s="3">
        <f t="shared" si="5"/>
        <v>0.11</v>
      </c>
      <c r="H70" s="2">
        <v>5</v>
      </c>
      <c r="I70" s="4">
        <v>4.01</v>
      </c>
      <c r="J70" s="2">
        <v>3.67</v>
      </c>
      <c r="K70" s="2">
        <v>3.71</v>
      </c>
      <c r="L70" s="2">
        <v>4.08</v>
      </c>
      <c r="M70" s="2">
        <v>4.2699999999999996</v>
      </c>
    </row>
    <row r="71" spans="1:13" x14ac:dyDescent="0.2">
      <c r="A71" s="6" t="s">
        <v>3</v>
      </c>
      <c r="B71" s="6" t="s">
        <v>30</v>
      </c>
      <c r="C71" s="6" t="s">
        <v>6</v>
      </c>
      <c r="D71" s="2">
        <v>2.77</v>
      </c>
      <c r="E71" s="3">
        <f t="shared" si="4"/>
        <v>2.6160000000000001</v>
      </c>
      <c r="F71" s="2">
        <v>0.2</v>
      </c>
      <c r="G71" s="3">
        <f t="shared" si="5"/>
        <v>0.21</v>
      </c>
      <c r="H71" s="2">
        <v>5</v>
      </c>
      <c r="I71" s="4">
        <v>3.29</v>
      </c>
      <c r="J71" s="2">
        <v>2.75</v>
      </c>
      <c r="K71" s="2">
        <v>2.66</v>
      </c>
      <c r="L71" s="2">
        <v>2.0699999999999998</v>
      </c>
      <c r="M71" s="2">
        <v>2.31</v>
      </c>
    </row>
    <row r="72" spans="1:13" x14ac:dyDescent="0.2">
      <c r="A72" t="s">
        <v>16</v>
      </c>
      <c r="B72" t="s">
        <v>25</v>
      </c>
      <c r="C72" t="s">
        <v>11</v>
      </c>
      <c r="D72" s="2">
        <v>0.27</v>
      </c>
      <c r="E72" s="3">
        <f t="shared" si="4"/>
        <v>0.23199999999999998</v>
      </c>
      <c r="F72" s="2">
        <v>0.08</v>
      </c>
      <c r="G72" s="3">
        <f t="shared" si="5"/>
        <v>0.03</v>
      </c>
      <c r="H72" s="2">
        <v>5</v>
      </c>
      <c r="I72" s="4">
        <v>0.13</v>
      </c>
      <c r="J72" s="2">
        <v>0.23</v>
      </c>
      <c r="K72" s="2">
        <v>0.25</v>
      </c>
      <c r="L72" s="2">
        <v>0.34</v>
      </c>
      <c r="M72" s="2">
        <v>0.21</v>
      </c>
    </row>
    <row r="73" spans="1:13" x14ac:dyDescent="0.2">
      <c r="A73" t="s">
        <v>3</v>
      </c>
      <c r="B73" t="s">
        <v>25</v>
      </c>
      <c r="C73" t="s">
        <v>11</v>
      </c>
      <c r="D73" s="2">
        <v>0.21</v>
      </c>
      <c r="E73" s="3">
        <f t="shared" si="4"/>
        <v>0.27600000000000002</v>
      </c>
      <c r="F73" s="2">
        <v>0.12</v>
      </c>
      <c r="G73" s="3">
        <f t="shared" si="5"/>
        <v>0.05</v>
      </c>
      <c r="H73" s="2">
        <v>4</v>
      </c>
      <c r="I73" s="4">
        <v>0.15</v>
      </c>
      <c r="J73" s="2">
        <v>0.23</v>
      </c>
      <c r="K73" s="2">
        <v>0.42</v>
      </c>
      <c r="L73" s="2">
        <v>0.25</v>
      </c>
      <c r="M73" s="2">
        <v>0.33</v>
      </c>
    </row>
    <row r="74" spans="1:13" x14ac:dyDescent="0.2">
      <c r="A74" t="s">
        <v>16</v>
      </c>
      <c r="B74" t="s">
        <v>25</v>
      </c>
      <c r="C74" t="s">
        <v>9</v>
      </c>
      <c r="D74" s="2">
        <v>7.2</v>
      </c>
      <c r="E74" s="3">
        <f t="shared" si="4"/>
        <v>7.1059999999999999</v>
      </c>
      <c r="F74" s="2">
        <v>1.1399999999999999</v>
      </c>
      <c r="G74" s="3">
        <f t="shared" si="5"/>
        <v>1.63</v>
      </c>
      <c r="H74" s="2">
        <v>5</v>
      </c>
      <c r="I74" s="4">
        <v>4.0999999999999996</v>
      </c>
      <c r="J74" s="2">
        <v>8.4499999999999993</v>
      </c>
      <c r="K74" s="2">
        <v>9.6</v>
      </c>
      <c r="L74" s="2">
        <v>2.4500000000000002</v>
      </c>
      <c r="M74" s="2">
        <v>10.93</v>
      </c>
    </row>
    <row r="75" spans="1:13" x14ac:dyDescent="0.2">
      <c r="A75" t="s">
        <v>3</v>
      </c>
      <c r="B75" t="s">
        <v>25</v>
      </c>
      <c r="C75" t="s">
        <v>9</v>
      </c>
      <c r="D75" s="2">
        <v>4.4400000000000004</v>
      </c>
      <c r="E75" s="3">
        <f t="shared" si="4"/>
        <v>4.3339999999999996</v>
      </c>
      <c r="F75" s="2">
        <v>0.12</v>
      </c>
      <c r="G75" s="3">
        <f t="shared" si="5"/>
        <v>0.08</v>
      </c>
      <c r="H75" s="2">
        <v>5</v>
      </c>
      <c r="I75" s="4">
        <v>4.58</v>
      </c>
      <c r="J75" s="2">
        <v>4.17</v>
      </c>
      <c r="K75" s="2">
        <v>4.41</v>
      </c>
      <c r="L75" s="2">
        <v>4.3499999999999996</v>
      </c>
      <c r="M75" s="2">
        <v>4.16</v>
      </c>
    </row>
    <row r="76" spans="1:13" x14ac:dyDescent="0.2">
      <c r="A76" t="s">
        <v>16</v>
      </c>
      <c r="B76" t="s">
        <v>25</v>
      </c>
      <c r="C76" t="s">
        <v>7</v>
      </c>
      <c r="D76" s="2">
        <v>1.77</v>
      </c>
      <c r="E76" s="3">
        <f t="shared" si="4"/>
        <v>1.6440000000000001</v>
      </c>
      <c r="F76" s="2">
        <v>0.13</v>
      </c>
      <c r="G76" s="3">
        <f t="shared" si="5"/>
        <v>0.17</v>
      </c>
      <c r="H76" s="2">
        <v>5</v>
      </c>
      <c r="I76" s="4">
        <v>2.21</v>
      </c>
      <c r="J76" s="2">
        <v>1.36</v>
      </c>
      <c r="K76" s="2">
        <v>1.64</v>
      </c>
      <c r="L76" s="2">
        <v>1.79</v>
      </c>
      <c r="M76" s="2">
        <v>1.22</v>
      </c>
    </row>
    <row r="77" spans="1:13" x14ac:dyDescent="0.2">
      <c r="A77" t="s">
        <v>3</v>
      </c>
      <c r="B77" t="s">
        <v>25</v>
      </c>
      <c r="C77" t="s">
        <v>7</v>
      </c>
      <c r="D77" s="2">
        <v>0.64</v>
      </c>
      <c r="E77" s="3">
        <f t="shared" si="4"/>
        <v>0.78999999999999992</v>
      </c>
      <c r="F77" s="2">
        <v>0.14000000000000001</v>
      </c>
      <c r="G77" s="3">
        <f t="shared" si="5"/>
        <v>0.09</v>
      </c>
      <c r="H77" s="2">
        <v>5</v>
      </c>
      <c r="I77" s="4">
        <v>0.94</v>
      </c>
      <c r="J77" s="2">
        <v>1.04</v>
      </c>
      <c r="K77" s="2">
        <v>0.73</v>
      </c>
      <c r="L77" s="2">
        <v>0.59</v>
      </c>
      <c r="M77" s="2">
        <v>0.65</v>
      </c>
    </row>
    <row r="78" spans="1:13" x14ac:dyDescent="0.2">
      <c r="A78" t="s">
        <v>16</v>
      </c>
      <c r="B78" t="s">
        <v>25</v>
      </c>
      <c r="C78" t="s">
        <v>10</v>
      </c>
      <c r="D78" s="2">
        <v>2.68</v>
      </c>
      <c r="E78" s="3">
        <f t="shared" si="4"/>
        <v>3.0940000000000003</v>
      </c>
      <c r="F78" s="2">
        <v>0.15</v>
      </c>
      <c r="G78" s="3">
        <f t="shared" si="5"/>
        <v>0.24</v>
      </c>
      <c r="H78" s="2">
        <v>5</v>
      </c>
      <c r="I78" s="4">
        <v>2.67</v>
      </c>
      <c r="J78" s="2">
        <v>3.07</v>
      </c>
      <c r="K78" s="2">
        <v>2.74</v>
      </c>
      <c r="L78" s="2">
        <v>2.97</v>
      </c>
      <c r="M78" s="2">
        <v>4.0199999999999996</v>
      </c>
    </row>
    <row r="79" spans="1:13" x14ac:dyDescent="0.2">
      <c r="A79" t="s">
        <v>3</v>
      </c>
      <c r="B79" t="s">
        <v>25</v>
      </c>
      <c r="C79" t="s">
        <v>10</v>
      </c>
      <c r="D79" s="2">
        <v>0.82</v>
      </c>
      <c r="E79" s="3">
        <f t="shared" si="4"/>
        <v>0.57800000000000007</v>
      </c>
      <c r="F79" s="2">
        <v>0.11</v>
      </c>
      <c r="G79" s="3">
        <f t="shared" si="5"/>
        <v>0.09</v>
      </c>
      <c r="H79" s="2">
        <v>5</v>
      </c>
      <c r="I79" s="4">
        <v>0.76</v>
      </c>
      <c r="J79" s="2">
        <v>0.8</v>
      </c>
      <c r="K79" s="2">
        <v>0.55000000000000004</v>
      </c>
      <c r="L79" s="2">
        <v>0.4</v>
      </c>
      <c r="M79" s="2">
        <v>0.38</v>
      </c>
    </row>
    <row r="80" spans="1:13" x14ac:dyDescent="0.2">
      <c r="A80" t="s">
        <v>16</v>
      </c>
      <c r="B80" t="s">
        <v>25</v>
      </c>
      <c r="C80" t="s">
        <v>5</v>
      </c>
      <c r="D80" s="2">
        <v>1.32</v>
      </c>
      <c r="E80" s="3">
        <f t="shared" si="4"/>
        <v>1.1559999999999999</v>
      </c>
      <c r="F80" s="2">
        <v>0.2</v>
      </c>
      <c r="G80" s="3">
        <f t="shared" si="5"/>
        <v>0.15</v>
      </c>
      <c r="H80" s="2">
        <v>5</v>
      </c>
      <c r="I80" s="4">
        <v>1.39</v>
      </c>
      <c r="J80" s="2">
        <v>0.86</v>
      </c>
      <c r="K80" s="2">
        <v>1.54</v>
      </c>
      <c r="L80" s="2">
        <v>1.23</v>
      </c>
      <c r="M80" s="2">
        <v>0.76</v>
      </c>
    </row>
    <row r="81" spans="1:13" x14ac:dyDescent="0.2">
      <c r="A81" t="s">
        <v>3</v>
      </c>
      <c r="B81" t="s">
        <v>25</v>
      </c>
      <c r="C81" t="s">
        <v>5</v>
      </c>
      <c r="D81" s="2">
        <v>1.1299999999999999</v>
      </c>
      <c r="E81" s="3">
        <f t="shared" si="4"/>
        <v>0.83799999999999986</v>
      </c>
      <c r="F81" s="2">
        <v>0.13</v>
      </c>
      <c r="G81" s="3">
        <f t="shared" si="5"/>
        <v>0.11</v>
      </c>
      <c r="H81" s="2">
        <v>5</v>
      </c>
      <c r="I81" s="4">
        <v>0.79</v>
      </c>
      <c r="J81" s="2">
        <v>1.24</v>
      </c>
      <c r="K81" s="2">
        <v>0.59</v>
      </c>
      <c r="L81" s="2">
        <v>0.8</v>
      </c>
      <c r="M81" s="2">
        <v>0.77</v>
      </c>
    </row>
    <row r="82" spans="1:13" x14ac:dyDescent="0.2">
      <c r="A82" t="s">
        <v>16</v>
      </c>
      <c r="B82" t="s">
        <v>25</v>
      </c>
      <c r="C82" t="s">
        <v>8</v>
      </c>
      <c r="D82" s="2">
        <v>0.45</v>
      </c>
      <c r="E82" s="3">
        <f t="shared" si="4"/>
        <v>0.49199999999999999</v>
      </c>
      <c r="F82" s="2">
        <v>7.0000000000000007E-2</v>
      </c>
      <c r="G82" s="3">
        <f t="shared" si="5"/>
        <v>0.11</v>
      </c>
      <c r="H82" s="2">
        <v>5</v>
      </c>
      <c r="I82" s="4">
        <v>0.45</v>
      </c>
      <c r="J82" s="2">
        <v>0.49</v>
      </c>
      <c r="K82" s="2">
        <v>0.25</v>
      </c>
      <c r="L82" s="2">
        <v>0.39</v>
      </c>
      <c r="M82" s="2">
        <v>0.88</v>
      </c>
    </row>
    <row r="83" spans="1:13" x14ac:dyDescent="0.2">
      <c r="A83" t="s">
        <v>3</v>
      </c>
      <c r="B83" t="s">
        <v>25</v>
      </c>
      <c r="C83" t="s">
        <v>8</v>
      </c>
      <c r="D83" s="2">
        <v>0.33</v>
      </c>
      <c r="E83" s="3">
        <f t="shared" si="4"/>
        <v>0.378</v>
      </c>
      <c r="F83" s="2">
        <v>0.09</v>
      </c>
      <c r="G83" s="3">
        <f t="shared" si="5"/>
        <v>7.0000000000000007E-2</v>
      </c>
      <c r="H83" s="2">
        <v>5</v>
      </c>
      <c r="I83" s="4">
        <v>0.22</v>
      </c>
      <c r="J83" s="2">
        <v>0.32</v>
      </c>
      <c r="K83" s="2">
        <v>0.57999999999999996</v>
      </c>
      <c r="L83" s="2">
        <v>0.48</v>
      </c>
      <c r="M83" s="2">
        <v>0.28999999999999998</v>
      </c>
    </row>
    <row r="84" spans="1:13" x14ac:dyDescent="0.2">
      <c r="A84" t="s">
        <v>16</v>
      </c>
      <c r="B84" t="s">
        <v>25</v>
      </c>
      <c r="C84" t="s">
        <v>6</v>
      </c>
      <c r="D84" s="2">
        <v>3.76</v>
      </c>
      <c r="E84" s="3">
        <f t="shared" si="4"/>
        <v>3.7739999999999996</v>
      </c>
      <c r="F84" s="2">
        <v>0.4</v>
      </c>
      <c r="G84" s="3">
        <f t="shared" si="5"/>
        <v>0.25</v>
      </c>
      <c r="H84" s="2">
        <v>5</v>
      </c>
      <c r="I84" s="4">
        <v>4.3899999999999997</v>
      </c>
      <c r="J84" s="2">
        <v>4.03</v>
      </c>
      <c r="K84" s="2">
        <v>2.99</v>
      </c>
      <c r="L84" s="2">
        <v>3.45</v>
      </c>
      <c r="M84" s="2">
        <v>4.01</v>
      </c>
    </row>
    <row r="85" spans="1:13" x14ac:dyDescent="0.2">
      <c r="A85" t="s">
        <v>3</v>
      </c>
      <c r="B85" t="s">
        <v>25</v>
      </c>
      <c r="C85" t="s">
        <v>6</v>
      </c>
      <c r="D85" s="2">
        <v>2.0299999999999998</v>
      </c>
      <c r="E85" s="3">
        <f t="shared" si="4"/>
        <v>1.984</v>
      </c>
      <c r="F85" s="2">
        <v>0.35</v>
      </c>
      <c r="G85" s="3">
        <f t="shared" si="5"/>
        <v>0.27</v>
      </c>
      <c r="H85" s="2">
        <v>5</v>
      </c>
      <c r="I85" s="4">
        <v>1.03</v>
      </c>
      <c r="J85" s="2">
        <v>2.14</v>
      </c>
      <c r="K85" s="2">
        <v>2.09</v>
      </c>
      <c r="L85" s="2">
        <v>2.69</v>
      </c>
      <c r="M85" s="2">
        <v>1.97</v>
      </c>
    </row>
    <row r="92" spans="1:13" x14ac:dyDescent="0.2">
      <c r="E92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76D7-715C-D846-AEF0-92AFDBB8ECEB}">
  <dimension ref="A1:M36"/>
  <sheetViews>
    <sheetView topLeftCell="A12" zoomScale="130" zoomScaleNormal="130" workbookViewId="0">
      <selection activeCell="F36" sqref="F36"/>
    </sheetView>
  </sheetViews>
  <sheetFormatPr baseColWidth="10" defaultRowHeight="16" x14ac:dyDescent="0.2"/>
  <cols>
    <col min="1" max="1" width="12.33203125" bestFit="1" customWidth="1"/>
  </cols>
  <sheetData>
    <row r="1" spans="1:3" x14ac:dyDescent="0.2">
      <c r="A1" t="s">
        <v>0</v>
      </c>
      <c r="B1" t="s">
        <v>1</v>
      </c>
      <c r="C1" t="s">
        <v>40</v>
      </c>
    </row>
    <row r="2" spans="1:3" x14ac:dyDescent="0.2">
      <c r="A2" t="s">
        <v>16</v>
      </c>
      <c r="B2" t="s">
        <v>26</v>
      </c>
      <c r="C2">
        <f>COUNTIFS('compound response'!$B:$B,Sheet1!B2,'compound response'!$A:$A,Sheet1!A2)</f>
        <v>7</v>
      </c>
    </row>
    <row r="3" spans="1:3" x14ac:dyDescent="0.2">
      <c r="A3" t="s">
        <v>16</v>
      </c>
      <c r="B3" t="s">
        <v>25</v>
      </c>
      <c r="C3">
        <f>COUNTIFS('compound response'!$B:$B,Sheet1!B3,'compound response'!$A:$A,Sheet1!A3)</f>
        <v>7</v>
      </c>
    </row>
    <row r="4" spans="1:3" x14ac:dyDescent="0.2">
      <c r="A4" t="s">
        <v>16</v>
      </c>
      <c r="B4" t="s">
        <v>29</v>
      </c>
      <c r="C4">
        <f>COUNTIFS('compound response'!$B:$B,Sheet1!B4,'compound response'!$A:$A,Sheet1!A4)</f>
        <v>7</v>
      </c>
    </row>
    <row r="5" spans="1:3" x14ac:dyDescent="0.2">
      <c r="A5" t="s">
        <v>16</v>
      </c>
      <c r="B5" t="s">
        <v>30</v>
      </c>
      <c r="C5">
        <f>COUNTIFS('compound response'!$B:$B,Sheet1!B5,'compound response'!$A:$A,Sheet1!A5)</f>
        <v>7</v>
      </c>
    </row>
    <row r="6" spans="1:3" x14ac:dyDescent="0.2">
      <c r="A6" t="s">
        <v>16</v>
      </c>
      <c r="B6" t="s">
        <v>27</v>
      </c>
      <c r="C6">
        <f>COUNTIFS('compound response'!$B:$B,Sheet1!B6,'compound response'!$A:$A,Sheet1!A6)</f>
        <v>7</v>
      </c>
    </row>
    <row r="7" spans="1:3" x14ac:dyDescent="0.2">
      <c r="A7" t="s">
        <v>16</v>
      </c>
      <c r="B7" t="s">
        <v>28</v>
      </c>
      <c r="C7">
        <f>COUNTIFS('compound response'!$B:$B,Sheet1!B7,'compound response'!$A:$A,Sheet1!A7)</f>
        <v>7</v>
      </c>
    </row>
    <row r="8" spans="1:3" x14ac:dyDescent="0.2">
      <c r="A8" t="s">
        <v>3</v>
      </c>
      <c r="B8" t="s">
        <v>26</v>
      </c>
      <c r="C8">
        <f>COUNTIFS('compound response'!$B:$B,Sheet1!B8,'compound response'!$A:$A,Sheet1!A8)</f>
        <v>7</v>
      </c>
    </row>
    <row r="9" spans="1:3" x14ac:dyDescent="0.2">
      <c r="A9" t="s">
        <v>3</v>
      </c>
      <c r="B9" t="s">
        <v>25</v>
      </c>
      <c r="C9">
        <f>COUNTIFS('compound response'!$B:$B,Sheet1!B9,'compound response'!$A:$A,Sheet1!A9)</f>
        <v>7</v>
      </c>
    </row>
    <row r="10" spans="1:3" x14ac:dyDescent="0.2">
      <c r="A10" t="s">
        <v>3</v>
      </c>
      <c r="B10" t="s">
        <v>29</v>
      </c>
      <c r="C10">
        <f>COUNTIFS('compound response'!$B:$B,Sheet1!B10,'compound response'!$A:$A,Sheet1!A10)</f>
        <v>7</v>
      </c>
    </row>
    <row r="11" spans="1:3" x14ac:dyDescent="0.2">
      <c r="A11" t="s">
        <v>3</v>
      </c>
      <c r="B11" t="s">
        <v>30</v>
      </c>
      <c r="C11">
        <f>COUNTIFS('compound response'!$B:$B,Sheet1!B11,'compound response'!$A:$A,Sheet1!A11)</f>
        <v>7</v>
      </c>
    </row>
    <row r="12" spans="1:3" x14ac:dyDescent="0.2">
      <c r="A12" t="s">
        <v>3</v>
      </c>
      <c r="B12" t="s">
        <v>27</v>
      </c>
      <c r="C12">
        <f>COUNTIFS('compound response'!$B:$B,Sheet1!B12,'compound response'!$A:$A,Sheet1!A12)</f>
        <v>7</v>
      </c>
    </row>
    <row r="13" spans="1:3" x14ac:dyDescent="0.2">
      <c r="A13" t="s">
        <v>3</v>
      </c>
      <c r="B13" t="s">
        <v>28</v>
      </c>
      <c r="C13">
        <f>COUNTIFS('compound response'!$B:$B,Sheet1!B13,'compound response'!$A:$A,Sheet1!A13)</f>
        <v>7</v>
      </c>
    </row>
    <row r="17" spans="1:13" x14ac:dyDescent="0.2">
      <c r="A17" t="s">
        <v>16</v>
      </c>
    </row>
    <row r="18" spans="1:13" x14ac:dyDescent="0.2">
      <c r="B18" t="s">
        <v>25</v>
      </c>
      <c r="C18" t="s">
        <v>25</v>
      </c>
      <c r="D18" t="s">
        <v>26</v>
      </c>
      <c r="E18" t="s">
        <v>26</v>
      </c>
      <c r="F18" t="s">
        <v>29</v>
      </c>
      <c r="G18" t="s">
        <v>29</v>
      </c>
      <c r="H18" t="s">
        <v>30</v>
      </c>
      <c r="I18" t="s">
        <v>30</v>
      </c>
      <c r="J18" t="s">
        <v>28</v>
      </c>
      <c r="K18" t="s">
        <v>28</v>
      </c>
      <c r="L18" t="s">
        <v>27</v>
      </c>
      <c r="M18" t="s">
        <v>27</v>
      </c>
    </row>
    <row r="19" spans="1:13" x14ac:dyDescent="0.2">
      <c r="A19" t="s">
        <v>2</v>
      </c>
      <c r="B19" t="s">
        <v>14</v>
      </c>
      <c r="C19" t="s">
        <v>13</v>
      </c>
      <c r="D19" t="s">
        <v>14</v>
      </c>
      <c r="E19" t="s">
        <v>13</v>
      </c>
      <c r="F19" t="s">
        <v>14</v>
      </c>
      <c r="G19" t="s">
        <v>13</v>
      </c>
      <c r="H19" t="s">
        <v>14</v>
      </c>
      <c r="I19" t="s">
        <v>13</v>
      </c>
      <c r="J19" t="s">
        <v>14</v>
      </c>
      <c r="K19" t="s">
        <v>13</v>
      </c>
      <c r="L19" t="s">
        <v>14</v>
      </c>
      <c r="M19" t="s">
        <v>13</v>
      </c>
    </row>
    <row r="20" spans="1:13" x14ac:dyDescent="0.2">
      <c r="A20" t="s">
        <v>5</v>
      </c>
      <c r="B20">
        <f>SUMIFS('compound response'!$E:$E,'compound response'!$A:$A,Sheet1!$A$17,'compound response'!$B:$B,Sheet1!B$18,'compound response'!$C:$C,Sheet1!$A20)</f>
        <v>1.1559999999999999</v>
      </c>
      <c r="C20">
        <f>SUMIFS('compound response'!$G:$G,'compound response'!$A:$A,Sheet1!$A$17,'compound response'!$B:$B,Sheet1!C$18,'compound response'!$C:$C,Sheet1!$A20)</f>
        <v>0.15</v>
      </c>
      <c r="D20">
        <f>SUMIFS('compound response'!$E:$E,'compound response'!$A:$A,Sheet1!$A$17,'compound response'!$B:$B,Sheet1!D$18,'compound response'!$C:$C,Sheet1!$A20)</f>
        <v>4.016</v>
      </c>
      <c r="E20">
        <f>SUMIFS('compound response'!$G:$G,'compound response'!$A:$A,Sheet1!$A$17,'compound response'!$B:$B,Sheet1!E$18,'compound response'!$C:$C,Sheet1!$A20)</f>
        <v>0.47</v>
      </c>
      <c r="F20">
        <f>SUMIFS('compound response'!$E:$E,'compound response'!$A:$A,Sheet1!$A$17,'compound response'!$B:$B,Sheet1!F$18,'compound response'!$C:$C,Sheet1!$A20)</f>
        <v>3.048</v>
      </c>
      <c r="G20">
        <f>SUMIFS('compound response'!$G:$G,'compound response'!$A:$A,Sheet1!$A$17,'compound response'!$B:$B,Sheet1!G$18,'compound response'!$C:$C,Sheet1!$A20)</f>
        <v>0.42</v>
      </c>
      <c r="H20">
        <f>SUMIFS('compound response'!$E:$E,'compound response'!$A:$A,Sheet1!$A$17,'compound response'!$B:$B,Sheet1!H$18,'compound response'!$C:$C,Sheet1!$A20)</f>
        <v>2.056</v>
      </c>
      <c r="I20">
        <f>SUMIFS('compound response'!$G:$G,'compound response'!$A:$A,Sheet1!$A$17,'compound response'!$B:$B,Sheet1!I$18,'compound response'!$C:$C,Sheet1!$A20)</f>
        <v>7.0000000000000007E-2</v>
      </c>
      <c r="J20">
        <f>SUMIFS('compound response'!$E:$E,'compound response'!$A:$A,Sheet1!$A$17,'compound response'!$B:$B,Sheet1!J$18,'compound response'!$C:$C,Sheet1!$A20)</f>
        <v>4.4820000000000002</v>
      </c>
      <c r="K20">
        <f>SUMIFS('compound response'!$G:$G,'compound response'!$A:$A,Sheet1!$A$17,'compound response'!$B:$B,Sheet1!K$18,'compound response'!$C:$C,Sheet1!$A20)</f>
        <v>0.6</v>
      </c>
      <c r="L20">
        <f>SUMIFS('compound response'!$E:$E,'compound response'!$A:$A,Sheet1!$A$17,'compound response'!$B:$B,Sheet1!L$18,'compound response'!$C:$C,Sheet1!$A20)</f>
        <v>2.9180000000000001</v>
      </c>
      <c r="M20">
        <f>SUMIFS('compound response'!$G:$G,'compound response'!$A:$A,Sheet1!$A$17,'compound response'!$B:$B,Sheet1!M$18,'compound response'!$C:$C,Sheet1!$A20)</f>
        <v>0.54</v>
      </c>
    </row>
    <row r="21" spans="1:13" x14ac:dyDescent="0.2">
      <c r="A21" t="s">
        <v>6</v>
      </c>
      <c r="B21">
        <f>SUMIFS('compound response'!$E:$E,'compound response'!$A:$A,Sheet1!$A$17,'compound response'!$B:$B,Sheet1!B$18,'compound response'!$C:$C,Sheet1!$A21)</f>
        <v>3.7739999999999996</v>
      </c>
      <c r="C21">
        <f>SUMIFS('compound response'!$G:$G,'compound response'!$A:$A,Sheet1!$A$17,'compound response'!$B:$B,Sheet1!C$18,'compound response'!$C:$C,Sheet1!$A21)</f>
        <v>0.25</v>
      </c>
      <c r="D21">
        <f>SUMIFS('compound response'!$E:$E,'compound response'!$A:$A,Sheet1!$A$17,'compound response'!$B:$B,Sheet1!D$18,'compound response'!$C:$C,Sheet1!$A21)</f>
        <v>1.6600000000000001</v>
      </c>
      <c r="E21">
        <f>SUMIFS('compound response'!$G:$G,'compound response'!$A:$A,Sheet1!$A$17,'compound response'!$B:$B,Sheet1!E$18,'compound response'!$C:$C,Sheet1!$A21)</f>
        <v>0.53</v>
      </c>
      <c r="F21">
        <f>SUMIFS('compound response'!$E:$E,'compound response'!$A:$A,Sheet1!$A$17,'compound response'!$B:$B,Sheet1!F$18,'compound response'!$C:$C,Sheet1!$A21)</f>
        <v>2.2120000000000002</v>
      </c>
      <c r="G21">
        <f>SUMIFS('compound response'!$G:$G,'compound response'!$A:$A,Sheet1!$A$17,'compound response'!$B:$B,Sheet1!G$18,'compound response'!$C:$C,Sheet1!$A21)</f>
        <v>0.04</v>
      </c>
      <c r="H21">
        <f>SUMIFS('compound response'!$E:$E,'compound response'!$A:$A,Sheet1!$A$17,'compound response'!$B:$B,Sheet1!H$18,'compound response'!$C:$C,Sheet1!$A21)</f>
        <v>3.9480000000000004</v>
      </c>
      <c r="I21">
        <f>SUMIFS('compound response'!$G:$G,'compound response'!$A:$A,Sheet1!$A$17,'compound response'!$B:$B,Sheet1!I$18,'compound response'!$C:$C,Sheet1!$A21)</f>
        <v>0.11</v>
      </c>
      <c r="J21">
        <f>SUMIFS('compound response'!$E:$E,'compound response'!$A:$A,Sheet1!$A$17,'compound response'!$B:$B,Sheet1!J$18,'compound response'!$C:$C,Sheet1!$A21)</f>
        <v>5.42</v>
      </c>
      <c r="K21">
        <f>SUMIFS('compound response'!$G:$G,'compound response'!$A:$A,Sheet1!$A$17,'compound response'!$B:$B,Sheet1!K$18,'compound response'!$C:$C,Sheet1!$A21)</f>
        <v>0.97</v>
      </c>
      <c r="L21">
        <f>SUMIFS('compound response'!$E:$E,'compound response'!$A:$A,Sheet1!$A$17,'compound response'!$B:$B,Sheet1!L$18,'compound response'!$C:$C,Sheet1!$A21)</f>
        <v>3.9159999999999995</v>
      </c>
      <c r="M21">
        <f>SUMIFS('compound response'!$G:$G,'compound response'!$A:$A,Sheet1!$A$17,'compound response'!$B:$B,Sheet1!M$18,'compound response'!$C:$C,Sheet1!$A21)</f>
        <v>0.85</v>
      </c>
    </row>
    <row r="22" spans="1:13" x14ac:dyDescent="0.2">
      <c r="A22" t="s">
        <v>7</v>
      </c>
      <c r="B22">
        <f>SUMIFS('compound response'!$E:$E,'compound response'!$A:$A,Sheet1!$A$17,'compound response'!$B:$B,Sheet1!B$18,'compound response'!$C:$C,Sheet1!$A22)</f>
        <v>1.6440000000000001</v>
      </c>
      <c r="C22">
        <f>SUMIFS('compound response'!$G:$G,'compound response'!$A:$A,Sheet1!$A$17,'compound response'!$B:$B,Sheet1!C$18,'compound response'!$C:$C,Sheet1!$A22)</f>
        <v>0.17</v>
      </c>
      <c r="D22">
        <f>SUMIFS('compound response'!$E:$E,'compound response'!$A:$A,Sheet1!$A$17,'compound response'!$B:$B,Sheet1!D$18,'compound response'!$C:$C,Sheet1!$A22)</f>
        <v>1.024</v>
      </c>
      <c r="E22">
        <f>SUMIFS('compound response'!$G:$G,'compound response'!$A:$A,Sheet1!$A$17,'compound response'!$B:$B,Sheet1!E$18,'compound response'!$C:$C,Sheet1!$A22)</f>
        <v>0.06</v>
      </c>
      <c r="F22">
        <f>SUMIFS('compound response'!$E:$E,'compound response'!$A:$A,Sheet1!$A$17,'compound response'!$B:$B,Sheet1!F$18,'compound response'!$C:$C,Sheet1!$A22)</f>
        <v>1.1739999999999999</v>
      </c>
      <c r="G22">
        <f>SUMIFS('compound response'!$G:$G,'compound response'!$A:$A,Sheet1!$A$17,'compound response'!$B:$B,Sheet1!G$18,'compound response'!$C:$C,Sheet1!$A22)</f>
        <v>0.1</v>
      </c>
      <c r="H22">
        <f>SUMIFS('compound response'!$E:$E,'compound response'!$A:$A,Sheet1!$A$17,'compound response'!$B:$B,Sheet1!H$18,'compound response'!$C:$C,Sheet1!$A22)</f>
        <v>1.6719999999999999</v>
      </c>
      <c r="I22">
        <f>SUMIFS('compound response'!$G:$G,'compound response'!$A:$A,Sheet1!$A$17,'compound response'!$B:$B,Sheet1!I$18,'compound response'!$C:$C,Sheet1!$A22)</f>
        <v>0.19</v>
      </c>
      <c r="J22">
        <f>SUMIFS('compound response'!$E:$E,'compound response'!$A:$A,Sheet1!$A$17,'compound response'!$B:$B,Sheet1!J$18,'compound response'!$C:$C,Sheet1!$A22)</f>
        <v>1.238</v>
      </c>
      <c r="K22">
        <f>SUMIFS('compound response'!$G:$G,'compound response'!$A:$A,Sheet1!$A$17,'compound response'!$B:$B,Sheet1!K$18,'compound response'!$C:$C,Sheet1!$A22)</f>
        <v>0.17</v>
      </c>
      <c r="L22">
        <f>SUMIFS('compound response'!$E:$E,'compound response'!$A:$A,Sheet1!$A$17,'compound response'!$B:$B,Sheet1!L$18,'compound response'!$C:$C,Sheet1!$A22)</f>
        <v>1.8359999999999999</v>
      </c>
      <c r="M22">
        <f>SUMIFS('compound response'!$G:$G,'compound response'!$A:$A,Sheet1!$A$17,'compound response'!$B:$B,Sheet1!M$18,'compound response'!$C:$C,Sheet1!$A22)</f>
        <v>0.37</v>
      </c>
    </row>
    <row r="23" spans="1:13" x14ac:dyDescent="0.2">
      <c r="A23" t="s">
        <v>8</v>
      </c>
      <c r="B23">
        <f>SUMIFS('compound response'!$E:$E,'compound response'!$A:$A,Sheet1!$A$17,'compound response'!$B:$B,Sheet1!B$18,'compound response'!$C:$C,Sheet1!$A23)</f>
        <v>0.49199999999999999</v>
      </c>
      <c r="C23">
        <f>SUMIFS('compound response'!$G:$G,'compound response'!$A:$A,Sheet1!$A$17,'compound response'!$B:$B,Sheet1!C$18,'compound response'!$C:$C,Sheet1!$A23)</f>
        <v>0.11</v>
      </c>
      <c r="D23">
        <f>SUMIFS('compound response'!$E:$E,'compound response'!$A:$A,Sheet1!$A$17,'compound response'!$B:$B,Sheet1!D$18,'compound response'!$C:$C,Sheet1!$A23)</f>
        <v>0.246</v>
      </c>
      <c r="E23">
        <f>SUMIFS('compound response'!$G:$G,'compound response'!$A:$A,Sheet1!$A$17,'compound response'!$B:$B,Sheet1!E$18,'compound response'!$C:$C,Sheet1!$A23)</f>
        <v>0.08</v>
      </c>
      <c r="F23">
        <f>SUMIFS('compound response'!$E:$E,'compound response'!$A:$A,Sheet1!$A$17,'compound response'!$B:$B,Sheet1!F$18,'compound response'!$C:$C,Sheet1!$A23)</f>
        <v>0.30199999999999999</v>
      </c>
      <c r="G23">
        <f>SUMIFS('compound response'!$G:$G,'compound response'!$A:$A,Sheet1!$A$17,'compound response'!$B:$B,Sheet1!G$18,'compound response'!$C:$C,Sheet1!$A23)</f>
        <v>0.01</v>
      </c>
      <c r="H23">
        <f>SUMIFS('compound response'!$E:$E,'compound response'!$A:$A,Sheet1!$A$17,'compound response'!$B:$B,Sheet1!H$18,'compound response'!$C:$C,Sheet1!$A23)</f>
        <v>0.4</v>
      </c>
      <c r="I23">
        <f>SUMIFS('compound response'!$G:$G,'compound response'!$A:$A,Sheet1!$A$17,'compound response'!$B:$B,Sheet1!I$18,'compound response'!$C:$C,Sheet1!$A23)</f>
        <v>0.01</v>
      </c>
      <c r="J23">
        <f>SUMIFS('compound response'!$E:$E,'compound response'!$A:$A,Sheet1!$A$17,'compound response'!$B:$B,Sheet1!J$18,'compound response'!$C:$C,Sheet1!$A23)</f>
        <v>0.188</v>
      </c>
      <c r="K23">
        <f>SUMIFS('compound response'!$G:$G,'compound response'!$A:$A,Sheet1!$A$17,'compound response'!$B:$B,Sheet1!K$18,'compound response'!$C:$C,Sheet1!$A23)</f>
        <v>0.01</v>
      </c>
      <c r="L23">
        <f>SUMIFS('compound response'!$E:$E,'compound response'!$A:$A,Sheet1!$A$17,'compound response'!$B:$B,Sheet1!L$18,'compound response'!$C:$C,Sheet1!$A23)</f>
        <v>0.23199999999999998</v>
      </c>
      <c r="M23">
        <f>SUMIFS('compound response'!$G:$G,'compound response'!$A:$A,Sheet1!$A$17,'compound response'!$B:$B,Sheet1!M$18,'compound response'!$C:$C,Sheet1!$A23)</f>
        <v>0.04</v>
      </c>
    </row>
    <row r="24" spans="1:13" x14ac:dyDescent="0.2">
      <c r="A24" t="s">
        <v>9</v>
      </c>
      <c r="B24">
        <f>SUMIFS('compound response'!$E:$E,'compound response'!$A:$A,Sheet1!$A$17,'compound response'!$B:$B,Sheet1!B$18,'compound response'!$C:$C,Sheet1!$A24)</f>
        <v>7.1059999999999999</v>
      </c>
      <c r="C24">
        <f>SUMIFS('compound response'!$G:$G,'compound response'!$A:$A,Sheet1!$A$17,'compound response'!$B:$B,Sheet1!C$18,'compound response'!$C:$C,Sheet1!$A24)</f>
        <v>1.63</v>
      </c>
      <c r="D24">
        <f>SUMIFS('compound response'!$E:$E,'compound response'!$A:$A,Sheet1!$A$17,'compound response'!$B:$B,Sheet1!D$18,'compound response'!$C:$C,Sheet1!$A24)</f>
        <v>3.7640000000000002</v>
      </c>
      <c r="E24">
        <f>SUMIFS('compound response'!$G:$G,'compound response'!$A:$A,Sheet1!$A$17,'compound response'!$B:$B,Sheet1!E$18,'compound response'!$C:$C,Sheet1!$A24)</f>
        <v>0.9</v>
      </c>
      <c r="F24">
        <f>SUMIFS('compound response'!$E:$E,'compound response'!$A:$A,Sheet1!$A$17,'compound response'!$B:$B,Sheet1!F$18,'compound response'!$C:$C,Sheet1!$A24)</f>
        <v>3.3359999999999999</v>
      </c>
      <c r="G24">
        <f>SUMIFS('compound response'!$G:$G,'compound response'!$A:$A,Sheet1!$A$17,'compound response'!$B:$B,Sheet1!G$18,'compound response'!$C:$C,Sheet1!$A24)</f>
        <v>0.38</v>
      </c>
      <c r="H24">
        <f>SUMIFS('compound response'!$E:$E,'compound response'!$A:$A,Sheet1!$A$17,'compound response'!$B:$B,Sheet1!H$18,'compound response'!$C:$C,Sheet1!$A24)</f>
        <v>5.9320000000000004</v>
      </c>
      <c r="I24">
        <f>SUMIFS('compound response'!$G:$G,'compound response'!$A:$A,Sheet1!$A$17,'compound response'!$B:$B,Sheet1!I$18,'compound response'!$C:$C,Sheet1!$A24)</f>
        <v>0.19</v>
      </c>
      <c r="J24">
        <f>SUMIFS('compound response'!$E:$E,'compound response'!$A:$A,Sheet1!$A$17,'compound response'!$B:$B,Sheet1!J$18,'compound response'!$C:$C,Sheet1!$A24)</f>
        <v>4.0600000000000005</v>
      </c>
      <c r="K24">
        <f>SUMIFS('compound response'!$G:$G,'compound response'!$A:$A,Sheet1!$A$17,'compound response'!$B:$B,Sheet1!K$18,'compound response'!$C:$C,Sheet1!$A24)</f>
        <v>0.09</v>
      </c>
      <c r="L24">
        <f>SUMIFS('compound response'!$E:$E,'compound response'!$A:$A,Sheet1!$A$17,'compound response'!$B:$B,Sheet1!L$18,'compound response'!$C:$C,Sheet1!$A24)</f>
        <v>4.702</v>
      </c>
      <c r="M24">
        <f>SUMIFS('compound response'!$G:$G,'compound response'!$A:$A,Sheet1!$A$17,'compound response'!$B:$B,Sheet1!M$18,'compound response'!$C:$C,Sheet1!$A24)</f>
        <v>0.18</v>
      </c>
    </row>
    <row r="25" spans="1:13" x14ac:dyDescent="0.2">
      <c r="A25" t="s">
        <v>10</v>
      </c>
      <c r="B25">
        <f>SUMIFS('compound response'!$E:$E,'compound response'!$A:$A,Sheet1!$A$17,'compound response'!$B:$B,Sheet1!B$18,'compound response'!$C:$C,Sheet1!$A25)</f>
        <v>3.0940000000000003</v>
      </c>
      <c r="C25">
        <f>SUMIFS('compound response'!$G:$G,'compound response'!$A:$A,Sheet1!$A$17,'compound response'!$B:$B,Sheet1!C$18,'compound response'!$C:$C,Sheet1!$A25)</f>
        <v>0.24</v>
      </c>
      <c r="D25">
        <f>SUMIFS('compound response'!$E:$E,'compound response'!$A:$A,Sheet1!$A$17,'compound response'!$B:$B,Sheet1!D$18,'compound response'!$C:$C,Sheet1!$A25)</f>
        <v>1.6920000000000002</v>
      </c>
      <c r="E25">
        <f>SUMIFS('compound response'!$G:$G,'compound response'!$A:$A,Sheet1!$A$17,'compound response'!$B:$B,Sheet1!E$18,'compound response'!$C:$C,Sheet1!$A25)</f>
        <v>0.57999999999999996</v>
      </c>
      <c r="F25">
        <f>SUMIFS('compound response'!$E:$E,'compound response'!$A:$A,Sheet1!$A$17,'compound response'!$B:$B,Sheet1!F$18,'compound response'!$C:$C,Sheet1!$A25)</f>
        <v>2.1259999999999999</v>
      </c>
      <c r="G25">
        <f>SUMIFS('compound response'!$G:$G,'compound response'!$A:$A,Sheet1!$A$17,'compound response'!$B:$B,Sheet1!G$18,'compound response'!$C:$C,Sheet1!$A25)</f>
        <v>0.11</v>
      </c>
      <c r="H25">
        <f>SUMIFS('compound response'!$E:$E,'compound response'!$A:$A,Sheet1!$A$17,'compound response'!$B:$B,Sheet1!H$18,'compound response'!$C:$C,Sheet1!$A25)</f>
        <v>2.5840000000000001</v>
      </c>
      <c r="I25">
        <f>SUMIFS('compound response'!$G:$G,'compound response'!$A:$A,Sheet1!$A$17,'compound response'!$B:$B,Sheet1!I$18,'compound response'!$C:$C,Sheet1!$A25)</f>
        <v>0.16</v>
      </c>
      <c r="J25">
        <f>SUMIFS('compound response'!$E:$E,'compound response'!$A:$A,Sheet1!$A$17,'compound response'!$B:$B,Sheet1!J$18,'compound response'!$C:$C,Sheet1!$A25)</f>
        <v>2.4739999999999998</v>
      </c>
      <c r="K25">
        <f>SUMIFS('compound response'!$G:$G,'compound response'!$A:$A,Sheet1!$A$17,'compound response'!$B:$B,Sheet1!K$18,'compound response'!$C:$C,Sheet1!$A25)</f>
        <v>0.6</v>
      </c>
      <c r="L25">
        <f>SUMIFS('compound response'!$E:$E,'compound response'!$A:$A,Sheet1!$A$17,'compound response'!$B:$B,Sheet1!L$18,'compound response'!$C:$C,Sheet1!$A25)</f>
        <v>4.1100000000000003</v>
      </c>
      <c r="M25">
        <f>SUMIFS('compound response'!$G:$G,'compound response'!$A:$A,Sheet1!$A$17,'compound response'!$B:$B,Sheet1!M$18,'compound response'!$C:$C,Sheet1!$A25)</f>
        <v>1.04</v>
      </c>
    </row>
    <row r="26" spans="1:13" x14ac:dyDescent="0.2">
      <c r="A26" t="s">
        <v>11</v>
      </c>
      <c r="B26">
        <f>SUMIFS('compound response'!$E:$E,'compound response'!$A:$A,Sheet1!$A$17,'compound response'!$B:$B,Sheet1!B$18,'compound response'!$C:$C,Sheet1!$A26)</f>
        <v>0.23199999999999998</v>
      </c>
      <c r="C26">
        <f>SUMIFS('compound response'!$G:$G,'compound response'!$A:$A,Sheet1!$A$17,'compound response'!$B:$B,Sheet1!C$18,'compound response'!$C:$C,Sheet1!$A26)</f>
        <v>0.03</v>
      </c>
      <c r="D26">
        <f>SUMIFS('compound response'!$E:$E,'compound response'!$A:$A,Sheet1!$A$17,'compound response'!$B:$B,Sheet1!D$18,'compound response'!$C:$C,Sheet1!$A26)</f>
        <v>1.0940000000000001</v>
      </c>
      <c r="E26">
        <f>SUMIFS('compound response'!$G:$G,'compound response'!$A:$A,Sheet1!$A$17,'compound response'!$B:$B,Sheet1!E$18,'compound response'!$C:$C,Sheet1!$A26)</f>
        <v>0.15</v>
      </c>
      <c r="F26">
        <f>SUMIFS('compound response'!$E:$E,'compound response'!$A:$A,Sheet1!$A$17,'compound response'!$B:$B,Sheet1!F$18,'compound response'!$C:$C,Sheet1!$A26)</f>
        <v>1.1519999999999997</v>
      </c>
      <c r="G26">
        <f>SUMIFS('compound response'!$G:$G,'compound response'!$A:$A,Sheet1!$A$17,'compound response'!$B:$B,Sheet1!G$18,'compound response'!$C:$C,Sheet1!$A26)</f>
        <v>0.26</v>
      </c>
      <c r="H26">
        <f>SUMIFS('compound response'!$E:$E,'compound response'!$A:$A,Sheet1!$A$17,'compound response'!$B:$B,Sheet1!H$18,'compound response'!$C:$C,Sheet1!$A26)</f>
        <v>0.65000000000000013</v>
      </c>
      <c r="I26">
        <f>SUMIFS('compound response'!$G:$G,'compound response'!$A:$A,Sheet1!$A$17,'compound response'!$B:$B,Sheet1!I$18,'compound response'!$C:$C,Sheet1!$A26)</f>
        <v>0.15</v>
      </c>
      <c r="J26">
        <f>SUMIFS('compound response'!$E:$E,'compound response'!$A:$A,Sheet1!$A$17,'compound response'!$B:$B,Sheet1!J$18,'compound response'!$C:$C,Sheet1!$A26)</f>
        <v>0.67800000000000005</v>
      </c>
      <c r="K26">
        <f>SUMIFS('compound response'!$G:$G,'compound response'!$A:$A,Sheet1!$A$17,'compound response'!$B:$B,Sheet1!K$18,'compound response'!$C:$C,Sheet1!$A26)</f>
        <v>0.18</v>
      </c>
      <c r="L26">
        <f>SUMIFS('compound response'!$E:$E,'compound response'!$A:$A,Sheet1!$A$17,'compound response'!$B:$B,Sheet1!L$18,'compound response'!$C:$C,Sheet1!$A26)</f>
        <v>0.22599999999999998</v>
      </c>
      <c r="M26">
        <f>SUMIFS('compound response'!$G:$G,'compound response'!$A:$A,Sheet1!$A$17,'compound response'!$B:$B,Sheet1!M$18,'compound response'!$C:$C,Sheet1!$A26)</f>
        <v>0.01</v>
      </c>
    </row>
    <row r="28" spans="1:13" x14ac:dyDescent="0.2">
      <c r="A28" t="s">
        <v>16</v>
      </c>
    </row>
    <row r="29" spans="1:13" x14ac:dyDescent="0.2">
      <c r="B29" t="s">
        <v>18</v>
      </c>
      <c r="C29" t="s">
        <v>18</v>
      </c>
      <c r="D29" t="s">
        <v>19</v>
      </c>
      <c r="E29" t="s">
        <v>19</v>
      </c>
    </row>
    <row r="30" spans="1:13" x14ac:dyDescent="0.2">
      <c r="A30" t="s">
        <v>0</v>
      </c>
      <c r="B30" t="s">
        <v>14</v>
      </c>
      <c r="C30" t="s">
        <v>13</v>
      </c>
      <c r="D30" t="s">
        <v>14</v>
      </c>
      <c r="E30" t="s">
        <v>13</v>
      </c>
    </row>
    <row r="31" spans="1:13" x14ac:dyDescent="0.2">
      <c r="A31" t="s">
        <v>25</v>
      </c>
      <c r="B31">
        <f>SUMIFS('EAD response'!$F:$F,'EAD response'!$A:$A,Sheet1!$A$28,'EAD response'!$B:$B,Sheet1!$A31,'EAD response'!$C:$C,Sheet1!B$29)</f>
        <v>6.87</v>
      </c>
      <c r="C31">
        <f>SUMIFS('EAD response'!$G:$G,'EAD response'!$A:$A,Sheet1!$A$28,'EAD response'!$B:$B,Sheet1!$A31,'EAD response'!$C:$C,Sheet1!C$29)</f>
        <v>1.1100000000000001</v>
      </c>
      <c r="D31">
        <f>SUMIFS('EAD response'!$F:$F,'EAD response'!$A:$A,Sheet1!$A$28,'EAD response'!$B:$B,Sheet1!$A31,'EAD response'!$C:$C,Sheet1!D$29)</f>
        <v>9.68</v>
      </c>
      <c r="E31">
        <f>SUMIFS('EAD response'!$G:$G,'EAD response'!$A:$A,Sheet1!$A$28,'EAD response'!$B:$B,Sheet1!$A31,'EAD response'!$C:$C,Sheet1!E$29)</f>
        <v>0.91</v>
      </c>
    </row>
    <row r="32" spans="1:13" x14ac:dyDescent="0.2">
      <c r="A32" t="s">
        <v>26</v>
      </c>
      <c r="B32">
        <f>SUMIFS('EAD response'!$F:$F,'EAD response'!$A:$A,Sheet1!$A$28,'EAD response'!$B:$B,Sheet1!$A32,'EAD response'!$C:$C,Sheet1!B$29)</f>
        <v>4.7300000000000004</v>
      </c>
      <c r="C32">
        <f>SUMIFS('EAD response'!$G:$G,'EAD response'!$A:$A,Sheet1!$A$28,'EAD response'!$B:$B,Sheet1!$A32,'EAD response'!$C:$C,Sheet1!C$29)</f>
        <v>1.55</v>
      </c>
      <c r="D32">
        <f>SUMIFS('EAD response'!$F:$F,'EAD response'!$A:$A,Sheet1!$A$28,'EAD response'!$B:$B,Sheet1!$A32,'EAD response'!$C:$C,Sheet1!D$29)</f>
        <v>6.68</v>
      </c>
      <c r="E32">
        <f>SUMIFS('EAD response'!$G:$G,'EAD response'!$A:$A,Sheet1!$A$28,'EAD response'!$B:$B,Sheet1!$A32,'EAD response'!$C:$C,Sheet1!E$29)</f>
        <v>0.69</v>
      </c>
    </row>
    <row r="33" spans="1:5" x14ac:dyDescent="0.2">
      <c r="A33" t="s">
        <v>30</v>
      </c>
      <c r="B33">
        <f>SUMIFS('EAD response'!$F:$F,'EAD response'!$A:$A,Sheet1!$A$28,'EAD response'!$B:$B,Sheet1!$A33,'EAD response'!$C:$C,Sheet1!B$29)</f>
        <v>8.9499999999999993</v>
      </c>
      <c r="C33">
        <f>SUMIFS('EAD response'!$G:$G,'EAD response'!$A:$A,Sheet1!$A$28,'EAD response'!$B:$B,Sheet1!$A33,'EAD response'!$C:$C,Sheet1!C$29)</f>
        <v>0.92</v>
      </c>
      <c r="D33">
        <f>SUMIFS('EAD response'!$F:$F,'EAD response'!$A:$A,Sheet1!$A$28,'EAD response'!$B:$B,Sheet1!$A33,'EAD response'!$C:$C,Sheet1!D$29)</f>
        <v>8.42</v>
      </c>
      <c r="E33">
        <f>SUMIFS('EAD response'!$G:$G,'EAD response'!$A:$A,Sheet1!$A$28,'EAD response'!$B:$B,Sheet1!$A33,'EAD response'!$C:$C,Sheet1!E$29)</f>
        <v>0.94</v>
      </c>
    </row>
    <row r="34" spans="1:5" x14ac:dyDescent="0.2">
      <c r="A34" t="s">
        <v>29</v>
      </c>
      <c r="B34">
        <f>SUMIFS('EAD response'!$F:$F,'EAD response'!$A:$A,Sheet1!$A$28,'EAD response'!$B:$B,Sheet1!$A34,'EAD response'!$C:$C,Sheet1!B$29)</f>
        <v>5.36</v>
      </c>
      <c r="C34">
        <f>SUMIFS('EAD response'!$G:$G,'EAD response'!$A:$A,Sheet1!$A$28,'EAD response'!$B:$B,Sheet1!$A34,'EAD response'!$C:$C,Sheet1!C$29)</f>
        <v>1.04</v>
      </c>
      <c r="D34">
        <f>SUMIFS('EAD response'!$F:$F,'EAD response'!$A:$A,Sheet1!$A$28,'EAD response'!$B:$B,Sheet1!$A34,'EAD response'!$C:$C,Sheet1!D$29)</f>
        <v>5.59</v>
      </c>
      <c r="E34">
        <f>SUMIFS('EAD response'!$G:$G,'EAD response'!$A:$A,Sheet1!$A$28,'EAD response'!$B:$B,Sheet1!$A34,'EAD response'!$C:$C,Sheet1!E$29)</f>
        <v>0.25</v>
      </c>
    </row>
    <row r="35" spans="1:5" x14ac:dyDescent="0.2">
      <c r="A35" t="s">
        <v>27</v>
      </c>
      <c r="B35">
        <f>SUMIFS('EAD response'!$F:$F,'EAD response'!$A:$A,Sheet1!$A$28,'EAD response'!$B:$B,Sheet1!$A35,'EAD response'!$C:$C,Sheet1!B$29)</f>
        <v>5.26</v>
      </c>
      <c r="C35">
        <f>SUMIFS('EAD response'!$G:$G,'EAD response'!$A:$A,Sheet1!$A$28,'EAD response'!$B:$B,Sheet1!$A35,'EAD response'!$C:$C,Sheet1!C$29)</f>
        <v>0.93</v>
      </c>
      <c r="D35">
        <f>SUMIFS('EAD response'!$F:$F,'EAD response'!$A:$A,Sheet1!$A$28,'EAD response'!$B:$B,Sheet1!$A35,'EAD response'!$C:$C,Sheet1!D$29)</f>
        <v>7.79</v>
      </c>
      <c r="E35">
        <f>SUMIFS('EAD response'!$G:$G,'EAD response'!$A:$A,Sheet1!$A$28,'EAD response'!$B:$B,Sheet1!$A35,'EAD response'!$C:$C,Sheet1!E$29)</f>
        <v>0.57999999999999996</v>
      </c>
    </row>
    <row r="36" spans="1:5" x14ac:dyDescent="0.2">
      <c r="A36" t="s">
        <v>28</v>
      </c>
      <c r="B36">
        <f>SUMIFS('EAD response'!$F:$F,'EAD response'!$A:$A,Sheet1!$A$28,'EAD response'!$B:$B,Sheet1!$A36,'EAD response'!$C:$C,Sheet1!B$29)</f>
        <v>6.28</v>
      </c>
      <c r="C36">
        <f>SUMIFS('EAD response'!$G:$G,'EAD response'!$A:$A,Sheet1!$A$28,'EAD response'!$B:$B,Sheet1!$A36,'EAD response'!$C:$C,Sheet1!C$29)</f>
        <v>0.28999999999999998</v>
      </c>
      <c r="D36">
        <f>SUMIFS('EAD response'!$F:$F,'EAD response'!$A:$A,Sheet1!$A$28,'EAD response'!$B:$B,Sheet1!$A36,'EAD response'!$C:$C,Sheet1!D$29)</f>
        <v>9.23</v>
      </c>
      <c r="E36">
        <f>SUMIFS('EAD response'!$G:$G,'EAD response'!$A:$A,Sheet1!$A$28,'EAD response'!$B:$B,Sheet1!$A36,'EAD response'!$C:$C,Sheet1!E$29)</f>
        <v>0.41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B70A-FE3A-0B4C-89A7-DBFB0CC28F9E}">
  <dimension ref="A1:M34"/>
  <sheetViews>
    <sheetView zoomScale="140" zoomScaleNormal="140" workbookViewId="0">
      <pane ySplit="1" topLeftCell="A2" activePane="bottomLeft" state="frozen"/>
      <selection pane="bottomLeft" activeCell="J18" sqref="J18"/>
    </sheetView>
  </sheetViews>
  <sheetFormatPr baseColWidth="10" defaultRowHeight="16" x14ac:dyDescent="0.2"/>
  <cols>
    <col min="1" max="1" width="12.5" bestFit="1" customWidth="1"/>
    <col min="2" max="2" width="7.83203125" bestFit="1" customWidth="1"/>
    <col min="3" max="3" width="14.1640625" style="2" customWidth="1"/>
    <col min="4" max="4" width="8.6640625" style="2" bestFit="1" customWidth="1"/>
    <col min="5" max="5" width="8.1640625" style="2" bestFit="1" customWidth="1"/>
    <col min="6" max="6" width="10.83203125" style="4"/>
    <col min="7" max="7" width="10.83203125" style="2"/>
    <col min="8" max="8" width="0" style="2" hidden="1" customWidth="1"/>
    <col min="9" max="9" width="10.83203125" style="4"/>
    <col min="10" max="13" width="10.83203125" style="2"/>
  </cols>
  <sheetData>
    <row r="1" spans="1:13" s="7" customFormat="1" x14ac:dyDescent="0.2">
      <c r="A1" s="7" t="s">
        <v>0</v>
      </c>
      <c r="B1" s="7" t="s">
        <v>1</v>
      </c>
      <c r="C1" s="8" t="s">
        <v>17</v>
      </c>
      <c r="D1" s="8" t="s">
        <v>38</v>
      </c>
      <c r="E1" s="8" t="s">
        <v>39</v>
      </c>
      <c r="F1" s="10" t="s">
        <v>31</v>
      </c>
      <c r="G1" s="8" t="s">
        <v>32</v>
      </c>
      <c r="H1" s="8" t="s">
        <v>24</v>
      </c>
      <c r="I1" s="10" t="s">
        <v>33</v>
      </c>
      <c r="J1" s="8" t="s">
        <v>34</v>
      </c>
      <c r="K1" s="8" t="s">
        <v>35</v>
      </c>
      <c r="L1" s="8" t="s">
        <v>36</v>
      </c>
      <c r="M1" s="8" t="s">
        <v>37</v>
      </c>
    </row>
    <row r="2" spans="1:13" x14ac:dyDescent="0.2">
      <c r="A2" t="s">
        <v>3</v>
      </c>
      <c r="B2" t="s">
        <v>29</v>
      </c>
      <c r="C2" s="2" t="s">
        <v>18</v>
      </c>
      <c r="D2" s="2">
        <v>6.97</v>
      </c>
      <c r="E2" s="2">
        <v>0.76</v>
      </c>
      <c r="F2" s="4">
        <f t="shared" ref="F2:F25" si="0">ROUND(AVERAGE(I2:M2),2)</f>
        <v>5.59</v>
      </c>
      <c r="G2" s="2">
        <f t="shared" ref="G2:G25" si="1">ROUND(STDEV(I2:M2)/SQRT(COUNT(I2:M2)),2)</f>
        <v>0.81</v>
      </c>
      <c r="H2" s="2">
        <v>5</v>
      </c>
      <c r="I2" s="4">
        <v>3.63</v>
      </c>
      <c r="J2" s="2">
        <v>5.16</v>
      </c>
      <c r="K2" s="2">
        <v>8.5500000000000007</v>
      </c>
      <c r="L2" s="2">
        <v>5.16</v>
      </c>
      <c r="M2" s="2">
        <v>5.43</v>
      </c>
    </row>
    <row r="3" spans="1:13" x14ac:dyDescent="0.2">
      <c r="A3" t="s">
        <v>16</v>
      </c>
      <c r="B3" t="s">
        <v>29</v>
      </c>
      <c r="C3" s="2" t="s">
        <v>18</v>
      </c>
      <c r="D3" s="2">
        <v>4.99</v>
      </c>
      <c r="E3" s="2">
        <v>0.98</v>
      </c>
      <c r="F3" s="4">
        <f t="shared" si="0"/>
        <v>5.36</v>
      </c>
      <c r="G3" s="2">
        <f t="shared" si="1"/>
        <v>1.04</v>
      </c>
      <c r="H3" s="2">
        <v>5</v>
      </c>
      <c r="I3" s="4">
        <v>5.46</v>
      </c>
      <c r="J3" s="2">
        <v>8.7100000000000009</v>
      </c>
      <c r="K3" s="2">
        <v>4.3</v>
      </c>
      <c r="L3" s="2">
        <v>5.94</v>
      </c>
      <c r="M3" s="2">
        <v>2.37</v>
      </c>
    </row>
    <row r="4" spans="1:13" x14ac:dyDescent="0.2">
      <c r="A4" t="s">
        <v>3</v>
      </c>
      <c r="B4" t="s">
        <v>26</v>
      </c>
      <c r="C4" s="2" t="s">
        <v>18</v>
      </c>
      <c r="D4" s="2">
        <v>7.31</v>
      </c>
      <c r="E4" s="2">
        <v>1.34</v>
      </c>
      <c r="F4" s="4">
        <f t="shared" si="0"/>
        <v>6.86</v>
      </c>
      <c r="G4" s="2">
        <f t="shared" si="1"/>
        <v>1.71</v>
      </c>
      <c r="H4" s="2">
        <v>5</v>
      </c>
      <c r="I4" s="4">
        <v>7.26</v>
      </c>
      <c r="J4" s="2">
        <v>7.16</v>
      </c>
      <c r="K4" s="2">
        <v>0.62</v>
      </c>
      <c r="L4" s="2">
        <v>8.26</v>
      </c>
      <c r="M4" s="2">
        <v>11.02</v>
      </c>
    </row>
    <row r="5" spans="1:13" x14ac:dyDescent="0.2">
      <c r="A5" t="s">
        <v>16</v>
      </c>
      <c r="B5" t="s">
        <v>26</v>
      </c>
      <c r="C5" s="2" t="s">
        <v>18</v>
      </c>
      <c r="D5" s="2">
        <v>5.07</v>
      </c>
      <c r="E5" s="2">
        <v>2.17</v>
      </c>
      <c r="F5" s="4">
        <f t="shared" si="0"/>
        <v>4.7300000000000004</v>
      </c>
      <c r="G5" s="2">
        <f t="shared" si="1"/>
        <v>1.55</v>
      </c>
      <c r="H5" s="2">
        <v>5</v>
      </c>
      <c r="I5" s="4">
        <v>6.12</v>
      </c>
      <c r="J5" s="2">
        <v>8.25</v>
      </c>
      <c r="K5" s="2">
        <v>0.13</v>
      </c>
      <c r="L5" s="2">
        <v>7.1</v>
      </c>
      <c r="M5" s="2">
        <v>2.06</v>
      </c>
    </row>
    <row r="6" spans="1:13" x14ac:dyDescent="0.2">
      <c r="A6" t="s">
        <v>3</v>
      </c>
      <c r="B6" t="s">
        <v>27</v>
      </c>
      <c r="C6" s="2" t="s">
        <v>18</v>
      </c>
      <c r="D6" s="2">
        <v>7.14</v>
      </c>
      <c r="E6" s="2">
        <v>0.45</v>
      </c>
      <c r="F6" s="4">
        <f t="shared" si="0"/>
        <v>7.23</v>
      </c>
      <c r="G6" s="2">
        <f t="shared" si="1"/>
        <v>0.59</v>
      </c>
      <c r="H6" s="2">
        <v>5</v>
      </c>
      <c r="I6" s="4">
        <v>5.46</v>
      </c>
      <c r="J6" s="2">
        <v>8.51</v>
      </c>
      <c r="K6" s="2">
        <v>7.16</v>
      </c>
      <c r="L6" s="2">
        <v>8.5399999999999991</v>
      </c>
      <c r="M6" s="2">
        <v>6.48</v>
      </c>
    </row>
    <row r="7" spans="1:13" x14ac:dyDescent="0.2">
      <c r="A7" t="s">
        <v>16</v>
      </c>
      <c r="B7" t="s">
        <v>27</v>
      </c>
      <c r="C7" s="2" t="s">
        <v>18</v>
      </c>
      <c r="D7" s="2">
        <v>6.98</v>
      </c>
      <c r="E7" s="2">
        <v>1.1399999999999999</v>
      </c>
      <c r="F7" s="4">
        <f t="shared" si="0"/>
        <v>5.26</v>
      </c>
      <c r="G7" s="2">
        <f t="shared" si="1"/>
        <v>0.93</v>
      </c>
      <c r="H7" s="2">
        <v>5</v>
      </c>
      <c r="I7" s="4">
        <v>5.33</v>
      </c>
      <c r="J7" s="2">
        <v>8.14</v>
      </c>
      <c r="K7" s="2">
        <v>6.27</v>
      </c>
      <c r="L7" s="2">
        <v>3.09</v>
      </c>
      <c r="M7" s="2">
        <v>3.49</v>
      </c>
    </row>
    <row r="8" spans="1:13" x14ac:dyDescent="0.2">
      <c r="A8" t="s">
        <v>3</v>
      </c>
      <c r="B8" t="s">
        <v>28</v>
      </c>
      <c r="C8" s="2" t="s">
        <v>18</v>
      </c>
      <c r="D8" s="2">
        <v>5.13</v>
      </c>
      <c r="E8" s="2">
        <v>0.71</v>
      </c>
      <c r="F8" s="4">
        <f t="shared" si="0"/>
        <v>3.72</v>
      </c>
      <c r="G8" s="2">
        <f t="shared" si="1"/>
        <v>0.53</v>
      </c>
      <c r="H8" s="2">
        <v>5</v>
      </c>
      <c r="I8" s="4">
        <v>2.64</v>
      </c>
      <c r="J8" s="2">
        <v>4.71</v>
      </c>
      <c r="K8" s="2">
        <v>5.19</v>
      </c>
      <c r="L8" s="2">
        <v>2.58</v>
      </c>
      <c r="M8" s="2">
        <v>3.5</v>
      </c>
    </row>
    <row r="9" spans="1:13" x14ac:dyDescent="0.2">
      <c r="A9" t="s">
        <v>16</v>
      </c>
      <c r="B9" t="s">
        <v>28</v>
      </c>
      <c r="C9" s="2" t="s">
        <v>18</v>
      </c>
      <c r="D9" s="2">
        <v>6.1</v>
      </c>
      <c r="E9" s="2">
        <v>0.39</v>
      </c>
      <c r="F9" s="4">
        <f t="shared" si="0"/>
        <v>6.28</v>
      </c>
      <c r="G9" s="2">
        <f t="shared" si="1"/>
        <v>0.28999999999999998</v>
      </c>
      <c r="H9" s="2">
        <v>5</v>
      </c>
      <c r="I9" s="4">
        <v>6.19</v>
      </c>
      <c r="J9" s="2">
        <v>5.23</v>
      </c>
      <c r="K9" s="2">
        <v>6.81</v>
      </c>
      <c r="L9" s="2">
        <v>6.38</v>
      </c>
      <c r="M9" s="2">
        <v>6.77</v>
      </c>
    </row>
    <row r="10" spans="1:13" x14ac:dyDescent="0.2">
      <c r="A10" t="s">
        <v>3</v>
      </c>
      <c r="B10" t="s">
        <v>30</v>
      </c>
      <c r="C10" s="2" t="s">
        <v>18</v>
      </c>
      <c r="D10" s="2">
        <v>6.15</v>
      </c>
      <c r="E10" s="2">
        <v>0.34</v>
      </c>
      <c r="F10" s="4">
        <f t="shared" si="0"/>
        <v>6.65</v>
      </c>
      <c r="G10" s="2">
        <f t="shared" si="1"/>
        <v>0.27</v>
      </c>
      <c r="H10" s="2">
        <v>5</v>
      </c>
      <c r="I10" s="4">
        <v>6.31</v>
      </c>
      <c r="J10" s="2">
        <v>6.19</v>
      </c>
      <c r="K10" s="2">
        <v>7.03</v>
      </c>
      <c r="L10" s="2">
        <v>7.51</v>
      </c>
      <c r="M10" s="2">
        <v>6.19</v>
      </c>
    </row>
    <row r="11" spans="1:13" x14ac:dyDescent="0.2">
      <c r="A11" t="s">
        <v>16</v>
      </c>
      <c r="B11" t="s">
        <v>30</v>
      </c>
      <c r="C11" s="2" t="s">
        <v>18</v>
      </c>
      <c r="D11" s="2">
        <v>8.15</v>
      </c>
      <c r="E11" s="2">
        <v>0.96</v>
      </c>
      <c r="F11" s="4">
        <f t="shared" si="0"/>
        <v>8.9499999999999993</v>
      </c>
      <c r="G11" s="2">
        <f t="shared" si="1"/>
        <v>0.92</v>
      </c>
      <c r="H11" s="2">
        <v>5</v>
      </c>
      <c r="I11" s="4">
        <v>7.61</v>
      </c>
      <c r="J11" s="2">
        <v>6.69</v>
      </c>
      <c r="K11" s="2">
        <v>8.5299999999999994</v>
      </c>
      <c r="L11" s="2">
        <v>10.09</v>
      </c>
      <c r="M11" s="2">
        <v>11.85</v>
      </c>
    </row>
    <row r="12" spans="1:13" x14ac:dyDescent="0.2">
      <c r="A12" t="s">
        <v>3</v>
      </c>
      <c r="B12" t="s">
        <v>25</v>
      </c>
      <c r="C12" s="2" t="s">
        <v>18</v>
      </c>
      <c r="D12" s="2">
        <v>5.43</v>
      </c>
      <c r="E12" s="2">
        <v>0.35</v>
      </c>
      <c r="F12" s="4">
        <f t="shared" si="0"/>
        <v>5.17</v>
      </c>
      <c r="G12" s="2">
        <f t="shared" si="1"/>
        <v>0.43</v>
      </c>
      <c r="H12" s="2">
        <v>5</v>
      </c>
      <c r="I12" s="4">
        <v>5.01</v>
      </c>
      <c r="J12" s="2">
        <v>6.06</v>
      </c>
      <c r="K12" s="2">
        <v>4.53</v>
      </c>
      <c r="L12" s="2">
        <v>4.01</v>
      </c>
      <c r="M12" s="2">
        <v>6.23</v>
      </c>
    </row>
    <row r="13" spans="1:13" x14ac:dyDescent="0.2">
      <c r="A13" t="s">
        <v>16</v>
      </c>
      <c r="B13" t="s">
        <v>25</v>
      </c>
      <c r="C13" s="2" t="s">
        <v>18</v>
      </c>
      <c r="D13" s="2">
        <v>6.73</v>
      </c>
      <c r="E13" s="2">
        <v>0.34</v>
      </c>
      <c r="F13" s="4">
        <f t="shared" si="0"/>
        <v>6.87</v>
      </c>
      <c r="G13" s="2">
        <f t="shared" si="1"/>
        <v>1.1100000000000001</v>
      </c>
      <c r="H13" s="2">
        <v>5</v>
      </c>
      <c r="I13" s="4">
        <v>9.3699999999999992</v>
      </c>
      <c r="J13" s="2">
        <v>8.9600000000000009</v>
      </c>
      <c r="K13" s="2">
        <v>3.41</v>
      </c>
      <c r="L13" s="2">
        <v>5.49</v>
      </c>
      <c r="M13" s="2">
        <v>7.11</v>
      </c>
    </row>
    <row r="14" spans="1:13" x14ac:dyDescent="0.2">
      <c r="A14" t="s">
        <v>3</v>
      </c>
      <c r="B14" t="s">
        <v>29</v>
      </c>
      <c r="C14" s="2" t="s">
        <v>19</v>
      </c>
      <c r="D14" s="2">
        <v>9.77</v>
      </c>
      <c r="E14" s="2">
        <v>0.39</v>
      </c>
      <c r="F14" s="4">
        <f t="shared" si="0"/>
        <v>9.41</v>
      </c>
      <c r="G14" s="2">
        <f t="shared" si="1"/>
        <v>0.56000000000000005</v>
      </c>
      <c r="H14" s="2">
        <v>5</v>
      </c>
      <c r="I14" s="4">
        <v>10.91</v>
      </c>
      <c r="J14" s="2">
        <v>9.57</v>
      </c>
      <c r="K14" s="2">
        <v>7.5</v>
      </c>
      <c r="L14" s="2">
        <v>9.86</v>
      </c>
      <c r="M14" s="2">
        <v>9.2100000000000009</v>
      </c>
    </row>
    <row r="15" spans="1:13" x14ac:dyDescent="0.2">
      <c r="A15" t="s">
        <v>16</v>
      </c>
      <c r="B15" t="s">
        <v>29</v>
      </c>
      <c r="C15" s="2" t="s">
        <v>19</v>
      </c>
      <c r="D15" s="2">
        <v>6.13</v>
      </c>
      <c r="E15" s="2">
        <v>0.45</v>
      </c>
      <c r="F15" s="4">
        <f t="shared" si="0"/>
        <v>5.59</v>
      </c>
      <c r="G15" s="2">
        <f t="shared" si="1"/>
        <v>0.25</v>
      </c>
      <c r="H15" s="2">
        <v>5</v>
      </c>
      <c r="I15" s="4">
        <v>5.09</v>
      </c>
      <c r="J15" s="2">
        <v>5.33</v>
      </c>
      <c r="K15" s="2">
        <v>5.95</v>
      </c>
      <c r="L15" s="2">
        <v>5.18</v>
      </c>
      <c r="M15" s="2">
        <v>6.41</v>
      </c>
    </row>
    <row r="16" spans="1:13" x14ac:dyDescent="0.2">
      <c r="A16" t="s">
        <v>3</v>
      </c>
      <c r="B16" t="s">
        <v>26</v>
      </c>
      <c r="C16" s="2" t="s">
        <v>19</v>
      </c>
      <c r="D16" s="2">
        <v>10.44</v>
      </c>
      <c r="E16" s="2">
        <v>1.55</v>
      </c>
      <c r="F16" s="4">
        <f t="shared" si="0"/>
        <v>11.55</v>
      </c>
      <c r="G16" s="2">
        <f t="shared" si="1"/>
        <v>1.39</v>
      </c>
      <c r="H16" s="2">
        <v>5</v>
      </c>
      <c r="I16" s="4">
        <v>13.84</v>
      </c>
      <c r="J16" s="2">
        <v>11.04</v>
      </c>
      <c r="K16" s="2">
        <v>6.37</v>
      </c>
      <c r="L16" s="2">
        <v>13.64</v>
      </c>
      <c r="M16" s="2">
        <v>12.88</v>
      </c>
    </row>
    <row r="17" spans="1:13" x14ac:dyDescent="0.2">
      <c r="A17" t="s">
        <v>16</v>
      </c>
      <c r="B17" t="s">
        <v>26</v>
      </c>
      <c r="C17" s="2" t="s">
        <v>19</v>
      </c>
      <c r="D17" s="2">
        <v>6.8</v>
      </c>
      <c r="E17" s="2">
        <v>0.96</v>
      </c>
      <c r="F17" s="4">
        <f t="shared" si="0"/>
        <v>6.68</v>
      </c>
      <c r="G17" s="2">
        <f t="shared" si="1"/>
        <v>0.69</v>
      </c>
      <c r="H17" s="2">
        <v>5</v>
      </c>
      <c r="I17" s="4">
        <v>8.07</v>
      </c>
      <c r="J17" s="2">
        <v>6.39</v>
      </c>
      <c r="K17" s="2">
        <v>4.5</v>
      </c>
      <c r="L17" s="2">
        <v>6.17</v>
      </c>
      <c r="M17" s="2">
        <v>8.27</v>
      </c>
    </row>
    <row r="18" spans="1:13" x14ac:dyDescent="0.2">
      <c r="A18" t="s">
        <v>3</v>
      </c>
      <c r="B18" t="s">
        <v>27</v>
      </c>
      <c r="C18" s="2" t="s">
        <v>19</v>
      </c>
      <c r="D18" s="2">
        <v>8.1199999999999992</v>
      </c>
      <c r="E18" s="2">
        <v>0.87</v>
      </c>
      <c r="F18" s="4">
        <f t="shared" si="0"/>
        <v>8.59</v>
      </c>
      <c r="G18" s="2">
        <f t="shared" si="1"/>
        <v>1.01</v>
      </c>
      <c r="H18" s="2">
        <v>5</v>
      </c>
      <c r="I18" s="4">
        <v>11.17</v>
      </c>
      <c r="J18" s="2">
        <v>9</v>
      </c>
      <c r="K18" s="2">
        <v>9.65</v>
      </c>
      <c r="L18" s="2">
        <v>7.98</v>
      </c>
      <c r="M18" s="2">
        <v>5.14</v>
      </c>
    </row>
    <row r="19" spans="1:13" x14ac:dyDescent="0.2">
      <c r="A19" t="s">
        <v>16</v>
      </c>
      <c r="B19" t="s">
        <v>27</v>
      </c>
      <c r="C19" s="2" t="s">
        <v>19</v>
      </c>
      <c r="D19" s="2">
        <v>8.56</v>
      </c>
      <c r="E19" s="2">
        <v>0.51</v>
      </c>
      <c r="F19" s="4">
        <f t="shared" si="0"/>
        <v>7.79</v>
      </c>
      <c r="G19" s="2">
        <f t="shared" si="1"/>
        <v>0.57999999999999996</v>
      </c>
      <c r="H19" s="2">
        <v>5</v>
      </c>
      <c r="I19" s="4">
        <v>9.69</v>
      </c>
      <c r="J19" s="2">
        <v>7.39</v>
      </c>
      <c r="K19" s="2">
        <v>7.86</v>
      </c>
      <c r="L19" s="2">
        <v>7.93</v>
      </c>
      <c r="M19" s="2">
        <v>6.07</v>
      </c>
    </row>
    <row r="20" spans="1:13" x14ac:dyDescent="0.2">
      <c r="A20" t="s">
        <v>3</v>
      </c>
      <c r="B20" t="s">
        <v>28</v>
      </c>
      <c r="C20" s="2" t="s">
        <v>19</v>
      </c>
      <c r="D20" s="2">
        <v>8.11</v>
      </c>
      <c r="E20" s="2">
        <v>0.26</v>
      </c>
      <c r="F20" s="4">
        <f t="shared" si="0"/>
        <v>8.14</v>
      </c>
      <c r="G20" s="2">
        <f t="shared" si="1"/>
        <v>0.39</v>
      </c>
      <c r="H20" s="2">
        <v>5</v>
      </c>
      <c r="I20" s="4">
        <v>8.9499999999999993</v>
      </c>
      <c r="J20" s="2">
        <v>7.34</v>
      </c>
      <c r="K20" s="2">
        <v>7.78</v>
      </c>
      <c r="L20" s="2">
        <v>9.19</v>
      </c>
      <c r="M20" s="2">
        <v>7.43</v>
      </c>
    </row>
    <row r="21" spans="1:13" x14ac:dyDescent="0.2">
      <c r="A21" t="s">
        <v>16</v>
      </c>
      <c r="B21" t="s">
        <v>28</v>
      </c>
      <c r="C21" s="2" t="s">
        <v>19</v>
      </c>
      <c r="D21" s="2">
        <v>8.15</v>
      </c>
      <c r="E21" s="2">
        <v>0.45</v>
      </c>
      <c r="F21" s="4">
        <f t="shared" si="0"/>
        <v>9.23</v>
      </c>
      <c r="G21" s="2">
        <f t="shared" si="1"/>
        <v>0.41</v>
      </c>
      <c r="H21" s="2">
        <v>5</v>
      </c>
      <c r="I21" s="4">
        <v>9.8699999999999992</v>
      </c>
      <c r="J21" s="2">
        <v>8.15</v>
      </c>
      <c r="K21" s="2">
        <v>10.130000000000001</v>
      </c>
      <c r="L21" s="2">
        <v>8.32</v>
      </c>
      <c r="M21" s="2">
        <v>9.6999999999999993</v>
      </c>
    </row>
    <row r="22" spans="1:13" x14ac:dyDescent="0.2">
      <c r="A22" t="s">
        <v>3</v>
      </c>
      <c r="B22" t="s">
        <v>30</v>
      </c>
      <c r="C22" s="2" t="s">
        <v>19</v>
      </c>
      <c r="D22" s="2">
        <v>7.13</v>
      </c>
      <c r="E22" s="2">
        <v>0.56000000000000005</v>
      </c>
      <c r="F22" s="4">
        <f t="shared" si="0"/>
        <v>7.08</v>
      </c>
      <c r="G22" s="2">
        <f t="shared" si="1"/>
        <v>0.3</v>
      </c>
      <c r="H22" s="2">
        <v>5</v>
      </c>
      <c r="I22" s="4">
        <v>6.79</v>
      </c>
      <c r="J22" s="2">
        <v>6.64</v>
      </c>
      <c r="K22" s="2">
        <v>6.7</v>
      </c>
      <c r="L22" s="2">
        <v>8.24</v>
      </c>
      <c r="M22" s="2">
        <v>7.02</v>
      </c>
    </row>
    <row r="23" spans="1:13" x14ac:dyDescent="0.2">
      <c r="A23" t="s">
        <v>16</v>
      </c>
      <c r="B23" t="s">
        <v>30</v>
      </c>
      <c r="C23" s="2" t="s">
        <v>19</v>
      </c>
      <c r="D23" s="2">
        <v>9.9600000000000009</v>
      </c>
      <c r="E23" s="2">
        <v>1.1100000000000001</v>
      </c>
      <c r="F23" s="4">
        <f t="shared" si="0"/>
        <v>8.42</v>
      </c>
      <c r="G23" s="2">
        <f t="shared" si="1"/>
        <v>0.94</v>
      </c>
      <c r="H23" s="2">
        <v>5</v>
      </c>
      <c r="I23" s="4">
        <v>11.42</v>
      </c>
      <c r="J23" s="2">
        <v>6.5</v>
      </c>
      <c r="K23" s="2">
        <v>6.53</v>
      </c>
      <c r="L23" s="2">
        <v>8.06</v>
      </c>
      <c r="M23" s="2">
        <v>9.58</v>
      </c>
    </row>
    <row r="24" spans="1:13" x14ac:dyDescent="0.2">
      <c r="A24" t="s">
        <v>3</v>
      </c>
      <c r="B24" t="s">
        <v>25</v>
      </c>
      <c r="C24" s="2" t="s">
        <v>19</v>
      </c>
      <c r="D24" s="2">
        <v>8.93</v>
      </c>
      <c r="E24" s="2">
        <v>1.38</v>
      </c>
      <c r="F24" s="4">
        <f t="shared" si="0"/>
        <v>8.4700000000000006</v>
      </c>
      <c r="G24" s="2">
        <f t="shared" si="1"/>
        <v>1.48</v>
      </c>
      <c r="H24" s="2">
        <v>5</v>
      </c>
      <c r="I24" s="4">
        <v>7.81</v>
      </c>
      <c r="J24" s="2">
        <v>5.15</v>
      </c>
      <c r="K24" s="2">
        <v>13.48</v>
      </c>
      <c r="L24" s="2">
        <v>9.81</v>
      </c>
      <c r="M24" s="2">
        <v>6.11</v>
      </c>
    </row>
    <row r="25" spans="1:13" x14ac:dyDescent="0.2">
      <c r="A25" t="s">
        <v>16</v>
      </c>
      <c r="B25" t="s">
        <v>25</v>
      </c>
      <c r="C25" s="2" t="s">
        <v>19</v>
      </c>
      <c r="D25" s="2">
        <v>7.93</v>
      </c>
      <c r="E25" s="2">
        <v>1.05</v>
      </c>
      <c r="F25" s="4">
        <f t="shared" si="0"/>
        <v>9.68</v>
      </c>
      <c r="G25" s="2">
        <f t="shared" si="1"/>
        <v>0.91</v>
      </c>
      <c r="H25" s="2">
        <v>5</v>
      </c>
      <c r="I25" s="4">
        <v>9.2899999999999991</v>
      </c>
      <c r="J25" s="2">
        <v>8</v>
      </c>
      <c r="K25" s="2">
        <v>11.5</v>
      </c>
      <c r="L25" s="2">
        <v>12.05</v>
      </c>
      <c r="M25" s="2">
        <v>7.55</v>
      </c>
    </row>
    <row r="34" spans="1:13" x14ac:dyDescent="0.2">
      <c r="A34" t="s">
        <v>23</v>
      </c>
      <c r="B34" t="s">
        <v>23</v>
      </c>
      <c r="C34" s="2" t="s">
        <v>23</v>
      </c>
      <c r="D34" s="2">
        <v>10</v>
      </c>
      <c r="E34" s="2">
        <v>2</v>
      </c>
      <c r="F34" s="4">
        <f ca="1">ROUND(AVERAGE(I34:M34),2)</f>
        <v>8.57</v>
      </c>
      <c r="G34" s="2">
        <f ca="1">ROUND(STDEV(I34:M34)/SQRT(COUNT(I34:M34)),2)</f>
        <v>2.65</v>
      </c>
      <c r="H34" s="2">
        <v>5</v>
      </c>
      <c r="I34" s="4">
        <f ca="1">ABS(ROUND($D34 + (_xlfn.NORM.INV(RAND(), 0, 1) * ($E34*SQRT($H34))),2))</f>
        <v>18.64</v>
      </c>
      <c r="J34" s="2">
        <f ca="1">ABS(ROUND($D34 + (_xlfn.NORM.INV(RAND(), 0, 1) * ($E34*SQRT($H34))),2))</f>
        <v>6.68</v>
      </c>
      <c r="K34" s="2">
        <f ca="1">ABS(ROUND($D34 + (_xlfn.NORM.INV(RAND(), 0, 1) * ($E34*SQRT($H34))),2))</f>
        <v>6.38</v>
      </c>
      <c r="L34" s="2">
        <f ca="1">ABS(ROUND($D34 + (_xlfn.NORM.INV(RAND(), 0, 1) * ($E34*SQRT($H34))),2))</f>
        <v>8.11</v>
      </c>
      <c r="M34" s="2">
        <f ca="1">ABS(ROUND($D34 + (_xlfn.NORM.INV(RAND(), 0, 1) * ($E34*SQRT($H34))),2))</f>
        <v>3.06</v>
      </c>
    </row>
  </sheetData>
  <phoneticPr fontId="3" type="noConversion"/>
  <pageMargins left="0.7" right="0.7" top="0.75" bottom="0.75" header="0.3" footer="0.3"/>
  <ignoredErrors>
    <ignoredError sqref="F2:G25" formulaRange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C5DC-D7E6-5E4F-A829-66AFC188F87D}">
  <dimension ref="A1:E5"/>
  <sheetViews>
    <sheetView zoomScale="140" zoomScaleNormal="140" workbookViewId="0">
      <selection activeCell="B1" sqref="B1"/>
    </sheetView>
  </sheetViews>
  <sheetFormatPr baseColWidth="10" defaultRowHeight="16" x14ac:dyDescent="0.2"/>
  <sheetData>
    <row r="1" spans="1:5" x14ac:dyDescent="0.2">
      <c r="A1">
        <v>1.1299999999999999</v>
      </c>
      <c r="B1">
        <f ca="1">ROUND($A$1 + (_xlfn.NORM.INV(RAND(), 0, 1) * $A$4),2)</f>
        <v>1.01</v>
      </c>
    </row>
    <row r="2" spans="1:5" x14ac:dyDescent="0.2">
      <c r="A2">
        <v>0.13</v>
      </c>
      <c r="B2">
        <f t="shared" ref="B2:B5" ca="1" si="0">ROUND($A$1 + (_xlfn.NORM.INV(RAND(), 0, 1) * $A$4),2)</f>
        <v>1.3</v>
      </c>
      <c r="D2" t="s">
        <v>12</v>
      </c>
      <c r="E2" t="s">
        <v>13</v>
      </c>
    </row>
    <row r="3" spans="1:5" x14ac:dyDescent="0.2">
      <c r="A3">
        <v>5</v>
      </c>
      <c r="B3">
        <f t="shared" ca="1" si="0"/>
        <v>1.17</v>
      </c>
      <c r="D3">
        <f ca="1">AVERAGE(B1:B5)</f>
        <v>1.1779999999999999</v>
      </c>
      <c r="E3">
        <f ca="1">STDEV(B1:B5)/SQRT(A3)</f>
        <v>4.7265209192385894E-2</v>
      </c>
    </row>
    <row r="4" spans="1:5" x14ac:dyDescent="0.2">
      <c r="A4">
        <f>A2*SQRT(A3)</f>
        <v>0.29068883707497267</v>
      </c>
      <c r="B4">
        <f t="shared" ca="1" si="0"/>
        <v>1.2</v>
      </c>
    </row>
    <row r="5" spans="1:5" x14ac:dyDescent="0.2">
      <c r="B5">
        <f t="shared" ca="1" si="0"/>
        <v>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532D-FFBB-A244-9CC8-3E74C1D04AF9}">
  <dimension ref="A1:E29"/>
  <sheetViews>
    <sheetView zoomScale="140" zoomScaleNormal="140" workbookViewId="0">
      <selection activeCell="E8" sqref="E8"/>
    </sheetView>
  </sheetViews>
  <sheetFormatPr baseColWidth="10" defaultRowHeight="16" x14ac:dyDescent="0.2"/>
  <cols>
    <col min="1" max="1" width="12.5" bestFit="1" customWidth="1"/>
    <col min="2" max="2" width="9.33203125" bestFit="1" customWidth="1"/>
    <col min="3" max="3" width="12.5" bestFit="1" customWidth="1"/>
    <col min="4" max="5" width="10.5" style="2" customWidth="1"/>
  </cols>
  <sheetData>
    <row r="1" spans="1:5" x14ac:dyDescent="0.2">
      <c r="A1" t="s">
        <v>0</v>
      </c>
      <c r="B1" t="s">
        <v>1</v>
      </c>
      <c r="C1" t="s">
        <v>2</v>
      </c>
      <c r="D1" s="2" t="s">
        <v>14</v>
      </c>
      <c r="E1" s="2" t="s">
        <v>13</v>
      </c>
    </row>
    <row r="2" spans="1:5" x14ac:dyDescent="0.2">
      <c r="A2" t="s">
        <v>3</v>
      </c>
      <c r="B2" t="s">
        <v>4</v>
      </c>
      <c r="C2" t="s">
        <v>5</v>
      </c>
      <c r="D2" s="2">
        <v>1.1299999999999999</v>
      </c>
      <c r="E2" s="2">
        <v>0.13</v>
      </c>
    </row>
    <row r="3" spans="1:5" x14ac:dyDescent="0.2">
      <c r="A3" t="s">
        <v>3</v>
      </c>
      <c r="B3" t="s">
        <v>4</v>
      </c>
      <c r="C3" t="s">
        <v>6</v>
      </c>
      <c r="D3" s="2">
        <v>2.0299999999999998</v>
      </c>
      <c r="E3" s="2">
        <v>0.35</v>
      </c>
    </row>
    <row r="4" spans="1:5" x14ac:dyDescent="0.2">
      <c r="A4" t="s">
        <v>3</v>
      </c>
      <c r="B4" t="s">
        <v>4</v>
      </c>
      <c r="C4" t="s">
        <v>7</v>
      </c>
      <c r="D4" s="2">
        <v>0.64</v>
      </c>
      <c r="E4" s="2">
        <v>0.14000000000000001</v>
      </c>
    </row>
    <row r="5" spans="1:5" x14ac:dyDescent="0.2">
      <c r="A5" t="s">
        <v>3</v>
      </c>
      <c r="B5" t="s">
        <v>4</v>
      </c>
      <c r="C5" t="s">
        <v>8</v>
      </c>
      <c r="D5" s="2">
        <v>0.33</v>
      </c>
      <c r="E5" s="2">
        <v>0.09</v>
      </c>
    </row>
    <row r="6" spans="1:5" x14ac:dyDescent="0.2">
      <c r="A6" t="s">
        <v>3</v>
      </c>
      <c r="B6" t="s">
        <v>4</v>
      </c>
      <c r="C6" t="s">
        <v>9</v>
      </c>
      <c r="D6" s="2">
        <v>4.4400000000000004</v>
      </c>
      <c r="E6" s="2">
        <v>1.87</v>
      </c>
    </row>
    <row r="7" spans="1:5" x14ac:dyDescent="0.2">
      <c r="A7" t="s">
        <v>3</v>
      </c>
      <c r="B7" t="s">
        <v>4</v>
      </c>
      <c r="C7" t="s">
        <v>10</v>
      </c>
      <c r="D7" s="2">
        <v>0.82</v>
      </c>
      <c r="E7" s="2">
        <v>0.11</v>
      </c>
    </row>
    <row r="8" spans="1:5" x14ac:dyDescent="0.2">
      <c r="A8" t="s">
        <v>3</v>
      </c>
      <c r="B8" t="s">
        <v>4</v>
      </c>
      <c r="C8" t="s">
        <v>11</v>
      </c>
      <c r="D8" s="2">
        <v>0.21</v>
      </c>
      <c r="E8" s="2">
        <v>0.12</v>
      </c>
    </row>
    <row r="9" spans="1:5" x14ac:dyDescent="0.2">
      <c r="A9" t="s">
        <v>3</v>
      </c>
      <c r="B9" t="s">
        <v>15</v>
      </c>
      <c r="C9" t="s">
        <v>5</v>
      </c>
      <c r="D9" s="2">
        <v>1.32</v>
      </c>
      <c r="E9" s="2">
        <v>0.19</v>
      </c>
    </row>
    <row r="10" spans="1:5" x14ac:dyDescent="0.2">
      <c r="A10" t="s">
        <v>3</v>
      </c>
      <c r="B10" t="s">
        <v>15</v>
      </c>
      <c r="C10" t="s">
        <v>6</v>
      </c>
      <c r="D10" s="2">
        <v>2.0099999999999998</v>
      </c>
      <c r="E10" s="2">
        <v>0.22</v>
      </c>
    </row>
    <row r="11" spans="1:5" x14ac:dyDescent="0.2">
      <c r="A11" t="s">
        <v>3</v>
      </c>
      <c r="B11" t="s">
        <v>15</v>
      </c>
      <c r="C11" t="s">
        <v>7</v>
      </c>
      <c r="D11" s="2">
        <v>1.21</v>
      </c>
      <c r="E11" s="2">
        <v>0.31</v>
      </c>
    </row>
    <row r="12" spans="1:5" x14ac:dyDescent="0.2">
      <c r="A12" t="s">
        <v>3</v>
      </c>
      <c r="B12" t="s">
        <v>15</v>
      </c>
      <c r="C12" t="s">
        <v>8</v>
      </c>
      <c r="D12" s="2">
        <v>0.42</v>
      </c>
      <c r="E12" s="2">
        <v>0.24</v>
      </c>
    </row>
    <row r="13" spans="1:5" x14ac:dyDescent="0.2">
      <c r="A13" t="s">
        <v>3</v>
      </c>
      <c r="B13" t="s">
        <v>15</v>
      </c>
      <c r="C13" t="s">
        <v>9</v>
      </c>
      <c r="D13" s="2">
        <v>6.46</v>
      </c>
      <c r="E13" s="2">
        <v>1.77</v>
      </c>
    </row>
    <row r="14" spans="1:5" x14ac:dyDescent="0.2">
      <c r="A14" t="s">
        <v>3</v>
      </c>
      <c r="B14" t="s">
        <v>15</v>
      </c>
      <c r="C14" t="s">
        <v>10</v>
      </c>
      <c r="D14" s="2">
        <v>1.07</v>
      </c>
      <c r="E14" s="2">
        <v>0.05</v>
      </c>
    </row>
    <row r="15" spans="1:5" x14ac:dyDescent="0.2">
      <c r="A15" t="s">
        <v>3</v>
      </c>
      <c r="B15" t="s">
        <v>15</v>
      </c>
      <c r="C15" t="s">
        <v>11</v>
      </c>
      <c r="D15" s="2">
        <v>0.32</v>
      </c>
      <c r="E15" s="2">
        <v>0.1</v>
      </c>
    </row>
    <row r="16" spans="1:5" x14ac:dyDescent="0.2">
      <c r="A16" t="s">
        <v>16</v>
      </c>
      <c r="B16" t="s">
        <v>4</v>
      </c>
      <c r="C16" t="s">
        <v>5</v>
      </c>
      <c r="D16" s="2">
        <v>1.32</v>
      </c>
      <c r="E16" s="2">
        <v>0.2</v>
      </c>
    </row>
    <row r="17" spans="1:5" x14ac:dyDescent="0.2">
      <c r="A17" t="s">
        <v>16</v>
      </c>
      <c r="B17" t="s">
        <v>4</v>
      </c>
      <c r="C17" t="s">
        <v>6</v>
      </c>
      <c r="D17" s="2">
        <v>3.76</v>
      </c>
      <c r="E17" s="2">
        <v>0.4</v>
      </c>
    </row>
    <row r="18" spans="1:5" x14ac:dyDescent="0.2">
      <c r="A18" t="s">
        <v>16</v>
      </c>
      <c r="B18" t="s">
        <v>4</v>
      </c>
      <c r="C18" t="s">
        <v>7</v>
      </c>
      <c r="D18" s="2">
        <v>1.77</v>
      </c>
      <c r="E18" s="2">
        <v>0.13</v>
      </c>
    </row>
    <row r="19" spans="1:5" x14ac:dyDescent="0.2">
      <c r="A19" t="s">
        <v>16</v>
      </c>
      <c r="B19" t="s">
        <v>4</v>
      </c>
      <c r="C19" t="s">
        <v>8</v>
      </c>
      <c r="D19" s="2">
        <v>0.45</v>
      </c>
      <c r="E19" s="2">
        <v>7.0000000000000007E-2</v>
      </c>
    </row>
    <row r="20" spans="1:5" x14ac:dyDescent="0.2">
      <c r="A20" t="s">
        <v>16</v>
      </c>
      <c r="B20" t="s">
        <v>4</v>
      </c>
      <c r="C20" t="s">
        <v>9</v>
      </c>
      <c r="D20" s="2">
        <v>4.22</v>
      </c>
      <c r="E20" s="2">
        <v>1.1399999999999999</v>
      </c>
    </row>
    <row r="21" spans="1:5" x14ac:dyDescent="0.2">
      <c r="A21" t="s">
        <v>16</v>
      </c>
      <c r="B21" t="s">
        <v>4</v>
      </c>
      <c r="C21" t="s">
        <v>10</v>
      </c>
      <c r="D21" s="2">
        <v>2.68</v>
      </c>
      <c r="E21" s="2">
        <v>0.15</v>
      </c>
    </row>
    <row r="22" spans="1:5" x14ac:dyDescent="0.2">
      <c r="A22" t="s">
        <v>16</v>
      </c>
      <c r="B22" t="s">
        <v>4</v>
      </c>
      <c r="C22" t="s">
        <v>11</v>
      </c>
      <c r="D22" s="2">
        <v>0.27</v>
      </c>
      <c r="E22" s="2">
        <v>0.08</v>
      </c>
    </row>
    <row r="23" spans="1:5" x14ac:dyDescent="0.2">
      <c r="A23" t="s">
        <v>16</v>
      </c>
      <c r="B23" t="s">
        <v>15</v>
      </c>
      <c r="C23" t="s">
        <v>5</v>
      </c>
      <c r="D23" s="2">
        <v>2.77</v>
      </c>
      <c r="E23" s="2">
        <v>0.74</v>
      </c>
    </row>
    <row r="24" spans="1:5" x14ac:dyDescent="0.2">
      <c r="A24" t="s">
        <v>16</v>
      </c>
      <c r="B24" t="s">
        <v>15</v>
      </c>
      <c r="C24" t="s">
        <v>6</v>
      </c>
      <c r="D24" s="2">
        <v>1.68</v>
      </c>
      <c r="E24" s="2">
        <v>0.55000000000000004</v>
      </c>
    </row>
    <row r="25" spans="1:5" x14ac:dyDescent="0.2">
      <c r="A25" t="s">
        <v>16</v>
      </c>
      <c r="B25" t="s">
        <v>15</v>
      </c>
      <c r="C25" t="s">
        <v>7</v>
      </c>
      <c r="D25" s="2">
        <v>1.01</v>
      </c>
      <c r="E25" s="2">
        <v>0.11</v>
      </c>
    </row>
    <row r="26" spans="1:5" x14ac:dyDescent="0.2">
      <c r="A26" t="s">
        <v>16</v>
      </c>
      <c r="B26" t="s">
        <v>15</v>
      </c>
      <c r="C26" t="s">
        <v>8</v>
      </c>
      <c r="D26" s="2">
        <v>0.27</v>
      </c>
      <c r="E26" s="2">
        <v>0.09</v>
      </c>
    </row>
    <row r="27" spans="1:5" x14ac:dyDescent="0.2">
      <c r="A27" t="s">
        <v>16</v>
      </c>
      <c r="B27" t="s">
        <v>15</v>
      </c>
      <c r="C27" t="s">
        <v>9</v>
      </c>
      <c r="D27" s="2">
        <v>5.98</v>
      </c>
      <c r="E27" s="2">
        <v>1.42</v>
      </c>
    </row>
    <row r="28" spans="1:5" x14ac:dyDescent="0.2">
      <c r="A28" t="s">
        <v>16</v>
      </c>
      <c r="B28" t="s">
        <v>15</v>
      </c>
      <c r="C28" t="s">
        <v>10</v>
      </c>
      <c r="D28" s="2">
        <v>1.76</v>
      </c>
      <c r="E28" s="2">
        <v>0.67</v>
      </c>
    </row>
    <row r="29" spans="1:5" x14ac:dyDescent="0.2">
      <c r="A29" t="s">
        <v>16</v>
      </c>
      <c r="B29" t="s">
        <v>15</v>
      </c>
      <c r="C29" t="s">
        <v>11</v>
      </c>
      <c r="D29" s="2">
        <v>0.82</v>
      </c>
      <c r="E29" s="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compound response</vt:lpstr>
      <vt:lpstr>Sheet1</vt:lpstr>
      <vt:lpstr>EAD response</vt:lpstr>
      <vt:lpstr>Sheet4</vt:lpstr>
      <vt:lpstr>mean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2025-03-18T15:54:54Z</dcterms:created>
  <dcterms:modified xsi:type="dcterms:W3CDTF">2026-04-13T16:43:11Z</dcterms:modified>
</cp:coreProperties>
</file>